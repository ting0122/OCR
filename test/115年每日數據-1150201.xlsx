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2025-9\Desktop\每日數據\"/>
    </mc:Choice>
  </mc:AlternateContent>
  <xr:revisionPtr revIDLastSave="0" documentId="13_ncr:1_{69D3ADF7-8FB5-4F0A-BED6-F732DCC3C8EB}" xr6:coauthVersionLast="47" xr6:coauthVersionMax="47" xr10:uidLastSave="{00000000-0000-0000-0000-000000000000}"/>
  <bookViews>
    <workbookView xWindow="-120" yWindow="-120" windowWidth="29040" windowHeight="15720" tabRatio="581" activeTab="1" xr2:uid="{00000000-000D-0000-FFFF-FFFF00000000}"/>
  </bookViews>
  <sheets>
    <sheet name="115年總表" sheetId="5" r:id="rId1"/>
    <sheet name="每日填寫-115年數據" sheetId="2" r:id="rId2"/>
    <sheet name="化學藥劑" sheetId="3" r:id="rId3"/>
    <sheet name="廠內飛灰存量變化" sheetId="4" r:id="rId4"/>
    <sheet name="飛灰製程原料用量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DP9" i="7" l="1"/>
  <c r="I205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162" i="2"/>
  <c r="I157" i="2"/>
  <c r="I158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01" i="2"/>
  <c r="Q102" i="2"/>
  <c r="I101" i="2"/>
  <c r="I102" i="2"/>
  <c r="Q31" i="2"/>
  <c r="Q32" i="2"/>
  <c r="DN9" i="7" l="1"/>
  <c r="DN35" i="7"/>
  <c r="DP35" i="7" s="1"/>
  <c r="DN34" i="7"/>
  <c r="DP34" i="7" s="1"/>
  <c r="DN33" i="7"/>
  <c r="DP33" i="7" s="1"/>
  <c r="DN32" i="7"/>
  <c r="DO32" i="7" s="1"/>
  <c r="DN31" i="7"/>
  <c r="DP31" i="7" s="1"/>
  <c r="DN30" i="7"/>
  <c r="DO30" i="7" s="1"/>
  <c r="DN29" i="7"/>
  <c r="DP29" i="7" s="1"/>
  <c r="DN28" i="7"/>
  <c r="DO28" i="7" s="1"/>
  <c r="DN27" i="7"/>
  <c r="DP27" i="7" s="1"/>
  <c r="DN26" i="7"/>
  <c r="DP26" i="7" s="1"/>
  <c r="DN25" i="7"/>
  <c r="DO25" i="7" s="1"/>
  <c r="DN24" i="7"/>
  <c r="DP24" i="7" s="1"/>
  <c r="DN23" i="7"/>
  <c r="DP23" i="7" s="1"/>
  <c r="DN22" i="7"/>
  <c r="DP22" i="7" s="1"/>
  <c r="DN21" i="7"/>
  <c r="DP21" i="7" s="1"/>
  <c r="DN20" i="7"/>
  <c r="DP20" i="7" s="1"/>
  <c r="DN19" i="7"/>
  <c r="DP19" i="7" s="1"/>
  <c r="DN18" i="7"/>
  <c r="DP18" i="7" s="1"/>
  <c r="DN17" i="7"/>
  <c r="DO17" i="7" s="1"/>
  <c r="DN16" i="7"/>
  <c r="DO16" i="7" s="1"/>
  <c r="DN15" i="7"/>
  <c r="DP15" i="7" s="1"/>
  <c r="DN14" i="7"/>
  <c r="DP14" i="7" s="1"/>
  <c r="DN13" i="7"/>
  <c r="DP13" i="7" s="1"/>
  <c r="DN12" i="7"/>
  <c r="DO12" i="7" s="1"/>
  <c r="DN11" i="7"/>
  <c r="DP11" i="7" s="1"/>
  <c r="DN10" i="7"/>
  <c r="DP10" i="7" s="1"/>
  <c r="DN8" i="7"/>
  <c r="DP8" i="7" s="1"/>
  <c r="DN7" i="7"/>
  <c r="DP7" i="7" s="1"/>
  <c r="DN6" i="7"/>
  <c r="DO6" i="7" s="1"/>
  <c r="DN5" i="7"/>
  <c r="DP5" i="7" s="1"/>
  <c r="DM4" i="7"/>
  <c r="DL4" i="7"/>
  <c r="DK4" i="7"/>
  <c r="DJ4" i="7"/>
  <c r="DI4" i="7"/>
  <c r="M396" i="3"/>
  <c r="L396" i="3"/>
  <c r="K396" i="3"/>
  <c r="J396" i="3"/>
  <c r="I396" i="3"/>
  <c r="H396" i="3"/>
  <c r="G396" i="3"/>
  <c r="F396" i="3"/>
  <c r="E396" i="3"/>
  <c r="D396" i="3"/>
  <c r="C396" i="3"/>
  <c r="Q413" i="2"/>
  <c r="I413" i="2"/>
  <c r="F413" i="2"/>
  <c r="Q412" i="2"/>
  <c r="I412" i="2"/>
  <c r="F412" i="2"/>
  <c r="Q411" i="2"/>
  <c r="I411" i="2"/>
  <c r="F411" i="2"/>
  <c r="Q410" i="2"/>
  <c r="I410" i="2"/>
  <c r="F410" i="2"/>
  <c r="Q409" i="2"/>
  <c r="I409" i="2"/>
  <c r="F409" i="2"/>
  <c r="Q408" i="2"/>
  <c r="I408" i="2"/>
  <c r="F408" i="2"/>
  <c r="Q407" i="2"/>
  <c r="I407" i="2"/>
  <c r="F407" i="2"/>
  <c r="Q406" i="2"/>
  <c r="I406" i="2"/>
  <c r="F406" i="2"/>
  <c r="Q405" i="2"/>
  <c r="I405" i="2"/>
  <c r="F405" i="2"/>
  <c r="Q404" i="2"/>
  <c r="I404" i="2"/>
  <c r="F404" i="2"/>
  <c r="Q403" i="2"/>
  <c r="I403" i="2"/>
  <c r="F403" i="2"/>
  <c r="Q402" i="2"/>
  <c r="I402" i="2"/>
  <c r="F402" i="2"/>
  <c r="Q401" i="2"/>
  <c r="I401" i="2"/>
  <c r="F401" i="2"/>
  <c r="Q400" i="2"/>
  <c r="I400" i="2"/>
  <c r="F400" i="2"/>
  <c r="Q399" i="2"/>
  <c r="I399" i="2"/>
  <c r="F399" i="2"/>
  <c r="Q398" i="2"/>
  <c r="I398" i="2"/>
  <c r="F398" i="2"/>
  <c r="Q397" i="2"/>
  <c r="I397" i="2"/>
  <c r="F397" i="2"/>
  <c r="Q396" i="2"/>
  <c r="I396" i="2"/>
  <c r="F396" i="2"/>
  <c r="Q395" i="2"/>
  <c r="I395" i="2"/>
  <c r="F395" i="2"/>
  <c r="Q394" i="2"/>
  <c r="I394" i="2"/>
  <c r="F394" i="2"/>
  <c r="Q393" i="2"/>
  <c r="I393" i="2"/>
  <c r="F393" i="2"/>
  <c r="Q392" i="2"/>
  <c r="I392" i="2"/>
  <c r="F392" i="2"/>
  <c r="Q391" i="2"/>
  <c r="I391" i="2"/>
  <c r="F391" i="2"/>
  <c r="Q390" i="2"/>
  <c r="I390" i="2"/>
  <c r="F390" i="2"/>
  <c r="Q389" i="2"/>
  <c r="I389" i="2"/>
  <c r="F389" i="2"/>
  <c r="Q388" i="2"/>
  <c r="I388" i="2"/>
  <c r="F388" i="2"/>
  <c r="Q387" i="2"/>
  <c r="I387" i="2"/>
  <c r="F387" i="2"/>
  <c r="Q386" i="2"/>
  <c r="I386" i="2"/>
  <c r="F386" i="2"/>
  <c r="Q385" i="2"/>
  <c r="I385" i="2"/>
  <c r="F385" i="2"/>
  <c r="Q384" i="2"/>
  <c r="I384" i="2"/>
  <c r="F384" i="2"/>
  <c r="Q383" i="2"/>
  <c r="I383" i="2"/>
  <c r="F383" i="2"/>
  <c r="Z382" i="2"/>
  <c r="Z16" i="5" s="1"/>
  <c r="Y382" i="2"/>
  <c r="Y16" i="5" s="1"/>
  <c r="X382" i="2"/>
  <c r="X16" i="5" s="1"/>
  <c r="W382" i="2"/>
  <c r="W16" i="5" s="1"/>
  <c r="V382" i="2"/>
  <c r="V16" i="5" s="1"/>
  <c r="U382" i="2"/>
  <c r="U16" i="5" s="1"/>
  <c r="T382" i="2"/>
  <c r="T16" i="5" s="1"/>
  <c r="S382" i="2"/>
  <c r="S16" i="5" s="1"/>
  <c r="R382" i="2"/>
  <c r="R16" i="5" s="1"/>
  <c r="P382" i="2"/>
  <c r="P16" i="5" s="1"/>
  <c r="O382" i="2"/>
  <c r="O16" i="5" s="1"/>
  <c r="N382" i="2"/>
  <c r="N16" i="5" s="1"/>
  <c r="M382" i="2"/>
  <c r="M16" i="5" s="1"/>
  <c r="L382" i="2"/>
  <c r="L16" i="5" s="1"/>
  <c r="K382" i="2"/>
  <c r="K16" i="5" s="1"/>
  <c r="J382" i="2"/>
  <c r="J16" i="5" s="1"/>
  <c r="H382" i="2"/>
  <c r="H16" i="5" s="1"/>
  <c r="G382" i="2"/>
  <c r="G16" i="5" s="1"/>
  <c r="E382" i="2"/>
  <c r="E16" i="5" s="1"/>
  <c r="D382" i="2"/>
  <c r="D16" i="5" s="1"/>
  <c r="C382" i="2"/>
  <c r="C16" i="5" s="1"/>
  <c r="DO8" i="7" l="1"/>
  <c r="DO9" i="7"/>
  <c r="DN4" i="7"/>
  <c r="DO4" i="7" s="1"/>
  <c r="DO24" i="7"/>
  <c r="DP16" i="7"/>
  <c r="DP28" i="7"/>
  <c r="DO5" i="7"/>
  <c r="DO21" i="7"/>
  <c r="DO33" i="7"/>
  <c r="DO14" i="7"/>
  <c r="DO34" i="7"/>
  <c r="DP6" i="7"/>
  <c r="DP30" i="7"/>
  <c r="DO20" i="7"/>
  <c r="DP12" i="7"/>
  <c r="DP32" i="7"/>
  <c r="DO29" i="7"/>
  <c r="DP17" i="7"/>
  <c r="DP25" i="7"/>
  <c r="DO18" i="7"/>
  <c r="DO22" i="7"/>
  <c r="DO26" i="7"/>
  <c r="DO7" i="7"/>
  <c r="DO11" i="7"/>
  <c r="DO15" i="7"/>
  <c r="DO19" i="7"/>
  <c r="DO23" i="7"/>
  <c r="DO27" i="7"/>
  <c r="DO31" i="7"/>
  <c r="DO35" i="7"/>
  <c r="DO13" i="7"/>
  <c r="DO10" i="7"/>
  <c r="Q382" i="2"/>
  <c r="Q16" i="5" s="1"/>
  <c r="I382" i="2"/>
  <c r="I16" i="5" s="1"/>
  <c r="F382" i="2"/>
  <c r="F16" i="5" s="1"/>
  <c r="DP4" i="7" l="1"/>
  <c r="F377" i="2"/>
  <c r="DD34" i="7"/>
  <c r="DF34" i="7" s="1"/>
  <c r="DD33" i="7"/>
  <c r="DF33" i="7" s="1"/>
  <c r="DD32" i="7"/>
  <c r="DF32" i="7" s="1"/>
  <c r="DD31" i="7"/>
  <c r="DF31" i="7" s="1"/>
  <c r="DD30" i="7"/>
  <c r="DF30" i="7" s="1"/>
  <c r="DD29" i="7"/>
  <c r="DF29" i="7" s="1"/>
  <c r="DD28" i="7"/>
  <c r="DF28" i="7" s="1"/>
  <c r="DD27" i="7"/>
  <c r="DF27" i="7" s="1"/>
  <c r="DD26" i="7"/>
  <c r="DF26" i="7" s="1"/>
  <c r="DD25" i="7"/>
  <c r="DF25" i="7" s="1"/>
  <c r="DD24" i="7"/>
  <c r="DF24" i="7" s="1"/>
  <c r="DD23" i="7"/>
  <c r="DF23" i="7" s="1"/>
  <c r="DD22" i="7"/>
  <c r="DF22" i="7" s="1"/>
  <c r="DD21" i="7"/>
  <c r="DF21" i="7" s="1"/>
  <c r="DD20" i="7"/>
  <c r="DF20" i="7" s="1"/>
  <c r="DD19" i="7"/>
  <c r="DF19" i="7" s="1"/>
  <c r="DD18" i="7"/>
  <c r="DF18" i="7" s="1"/>
  <c r="DD17" i="7"/>
  <c r="DF17" i="7" s="1"/>
  <c r="DD16" i="7"/>
  <c r="DF16" i="7" s="1"/>
  <c r="DD15" i="7"/>
  <c r="DF15" i="7" s="1"/>
  <c r="DD14" i="7"/>
  <c r="DF14" i="7" s="1"/>
  <c r="DD13" i="7"/>
  <c r="DF13" i="7" s="1"/>
  <c r="DD12" i="7"/>
  <c r="DF12" i="7" s="1"/>
  <c r="DD11" i="7"/>
  <c r="DF11" i="7" s="1"/>
  <c r="DD10" i="7"/>
  <c r="DF10" i="7" s="1"/>
  <c r="DD9" i="7"/>
  <c r="DF9" i="7" s="1"/>
  <c r="DD8" i="7"/>
  <c r="DF8" i="7" s="1"/>
  <c r="DD7" i="7"/>
  <c r="DD6" i="7"/>
  <c r="DF6" i="7" s="1"/>
  <c r="DD5" i="7"/>
  <c r="DF5" i="7" s="1"/>
  <c r="DC4" i="7"/>
  <c r="DB4" i="7"/>
  <c r="DA4" i="7"/>
  <c r="CZ4" i="7"/>
  <c r="CY4" i="7"/>
  <c r="M362" i="3"/>
  <c r="L362" i="3"/>
  <c r="K362" i="3"/>
  <c r="J362" i="3"/>
  <c r="I362" i="3"/>
  <c r="H362" i="3"/>
  <c r="G362" i="3"/>
  <c r="F362" i="3"/>
  <c r="E362" i="3"/>
  <c r="D362" i="3"/>
  <c r="C362" i="3"/>
  <c r="DD4" i="7" l="1"/>
  <c r="DF4" i="7" s="1"/>
  <c r="DE7" i="7"/>
  <c r="DE11" i="7"/>
  <c r="DE15" i="7"/>
  <c r="DE19" i="7"/>
  <c r="DE23" i="7"/>
  <c r="DE27" i="7"/>
  <c r="DE31" i="7"/>
  <c r="DF7" i="7"/>
  <c r="DE8" i="7"/>
  <c r="DE12" i="7"/>
  <c r="DE16" i="7"/>
  <c r="DE20" i="7"/>
  <c r="DE24" i="7"/>
  <c r="DE28" i="7"/>
  <c r="DE32" i="7"/>
  <c r="DE5" i="7"/>
  <c r="DE9" i="7"/>
  <c r="DE13" i="7"/>
  <c r="DE17" i="7"/>
  <c r="DE21" i="7"/>
  <c r="DE25" i="7"/>
  <c r="DE29" i="7"/>
  <c r="DE33" i="7"/>
  <c r="DE6" i="7"/>
  <c r="DE10" i="7"/>
  <c r="DE14" i="7"/>
  <c r="DE18" i="7"/>
  <c r="DE22" i="7"/>
  <c r="DE26" i="7"/>
  <c r="DE30" i="7"/>
  <c r="DE34" i="7"/>
  <c r="DE4" i="7" l="1"/>
  <c r="Q378" i="2"/>
  <c r="I378" i="2"/>
  <c r="F378" i="2"/>
  <c r="Q377" i="2"/>
  <c r="I377" i="2"/>
  <c r="Q376" i="2"/>
  <c r="I376" i="2"/>
  <c r="F376" i="2"/>
  <c r="Q375" i="2"/>
  <c r="I375" i="2"/>
  <c r="F375" i="2"/>
  <c r="Q374" i="2"/>
  <c r="I374" i="2"/>
  <c r="F374" i="2"/>
  <c r="Q373" i="2"/>
  <c r="I373" i="2"/>
  <c r="F373" i="2"/>
  <c r="Q372" i="2"/>
  <c r="I372" i="2"/>
  <c r="F372" i="2"/>
  <c r="Q371" i="2"/>
  <c r="I371" i="2"/>
  <c r="F371" i="2"/>
  <c r="Q370" i="2"/>
  <c r="I370" i="2"/>
  <c r="F370" i="2"/>
  <c r="Q369" i="2"/>
  <c r="I369" i="2"/>
  <c r="F369" i="2"/>
  <c r="Q368" i="2"/>
  <c r="I368" i="2"/>
  <c r="F368" i="2"/>
  <c r="Q367" i="2"/>
  <c r="I367" i="2"/>
  <c r="F367" i="2"/>
  <c r="Q366" i="2"/>
  <c r="I366" i="2"/>
  <c r="F366" i="2"/>
  <c r="Q365" i="2"/>
  <c r="I365" i="2"/>
  <c r="F365" i="2"/>
  <c r="Q364" i="2"/>
  <c r="I364" i="2"/>
  <c r="F364" i="2"/>
  <c r="Q363" i="2"/>
  <c r="I363" i="2"/>
  <c r="F363" i="2"/>
  <c r="Q362" i="2"/>
  <c r="I362" i="2"/>
  <c r="F362" i="2"/>
  <c r="Q361" i="2"/>
  <c r="I361" i="2"/>
  <c r="F361" i="2"/>
  <c r="Q360" i="2"/>
  <c r="I360" i="2"/>
  <c r="F360" i="2"/>
  <c r="Q359" i="2"/>
  <c r="I359" i="2"/>
  <c r="F359" i="2"/>
  <c r="Q358" i="2"/>
  <c r="I358" i="2"/>
  <c r="F358" i="2"/>
  <c r="Q357" i="2"/>
  <c r="I357" i="2"/>
  <c r="F357" i="2"/>
  <c r="Q356" i="2"/>
  <c r="I356" i="2"/>
  <c r="F356" i="2"/>
  <c r="Q355" i="2"/>
  <c r="I355" i="2"/>
  <c r="F355" i="2"/>
  <c r="Q354" i="2"/>
  <c r="I354" i="2"/>
  <c r="F354" i="2"/>
  <c r="Q353" i="2"/>
  <c r="I353" i="2"/>
  <c r="F353" i="2"/>
  <c r="Q352" i="2"/>
  <c r="I352" i="2"/>
  <c r="F352" i="2"/>
  <c r="Q351" i="2"/>
  <c r="I351" i="2"/>
  <c r="F351" i="2"/>
  <c r="Q350" i="2"/>
  <c r="I350" i="2"/>
  <c r="F350" i="2"/>
  <c r="Q349" i="2"/>
  <c r="I349" i="2"/>
  <c r="F349" i="2"/>
  <c r="Z348" i="2"/>
  <c r="Z15" i="5" s="1"/>
  <c r="Y348" i="2"/>
  <c r="Y15" i="5" s="1"/>
  <c r="X348" i="2"/>
  <c r="X15" i="5" s="1"/>
  <c r="W348" i="2"/>
  <c r="W15" i="5" s="1"/>
  <c r="V348" i="2"/>
  <c r="V15" i="5" s="1"/>
  <c r="U348" i="2"/>
  <c r="U15" i="5" s="1"/>
  <c r="T348" i="2"/>
  <c r="T15" i="5" s="1"/>
  <c r="S348" i="2"/>
  <c r="S15" i="5" s="1"/>
  <c r="R348" i="2"/>
  <c r="R15" i="5" s="1"/>
  <c r="P348" i="2"/>
  <c r="P15" i="5" s="1"/>
  <c r="O348" i="2"/>
  <c r="O15" i="5" s="1"/>
  <c r="N348" i="2"/>
  <c r="N15" i="5" s="1"/>
  <c r="M348" i="2"/>
  <c r="M15" i="5" s="1"/>
  <c r="L348" i="2"/>
  <c r="L15" i="5" s="1"/>
  <c r="K348" i="2"/>
  <c r="K15" i="5" s="1"/>
  <c r="J348" i="2"/>
  <c r="J15" i="5" s="1"/>
  <c r="H348" i="2"/>
  <c r="H15" i="5" s="1"/>
  <c r="G348" i="2"/>
  <c r="G15" i="5" s="1"/>
  <c r="E348" i="2"/>
  <c r="E15" i="5" s="1"/>
  <c r="D348" i="2"/>
  <c r="D15" i="5" s="1"/>
  <c r="C348" i="2"/>
  <c r="C15" i="5" s="1"/>
  <c r="I348" i="2" l="1"/>
  <c r="I15" i="5" s="1"/>
  <c r="Q348" i="2"/>
  <c r="Q15" i="5" s="1"/>
  <c r="F348" i="2"/>
  <c r="F15" i="5" s="1"/>
  <c r="CP4" i="7" l="1"/>
  <c r="CO4" i="7"/>
  <c r="CT35" i="7"/>
  <c r="CV35" i="7" s="1"/>
  <c r="CT34" i="7"/>
  <c r="CV34" i="7" s="1"/>
  <c r="CT33" i="7"/>
  <c r="CV33" i="7" s="1"/>
  <c r="CT32" i="7"/>
  <c r="CV32" i="7" s="1"/>
  <c r="CT31" i="7"/>
  <c r="CV31" i="7" s="1"/>
  <c r="CT30" i="7"/>
  <c r="CV30" i="7" s="1"/>
  <c r="CT29" i="7"/>
  <c r="CV29" i="7" s="1"/>
  <c r="CT28" i="7"/>
  <c r="CV28" i="7" s="1"/>
  <c r="CT27" i="7"/>
  <c r="CV27" i="7" s="1"/>
  <c r="CT26" i="7"/>
  <c r="CV26" i="7" s="1"/>
  <c r="CT25" i="7"/>
  <c r="CV25" i="7" s="1"/>
  <c r="CT24" i="7"/>
  <c r="CV24" i="7" s="1"/>
  <c r="CT23" i="7"/>
  <c r="CV23" i="7" s="1"/>
  <c r="CT22" i="7"/>
  <c r="CV22" i="7" s="1"/>
  <c r="CT21" i="7"/>
  <c r="CV21" i="7" s="1"/>
  <c r="CT20" i="7"/>
  <c r="CV20" i="7" s="1"/>
  <c r="CT19" i="7"/>
  <c r="CV19" i="7" s="1"/>
  <c r="CT18" i="7"/>
  <c r="CV18" i="7" s="1"/>
  <c r="CT17" i="7"/>
  <c r="CV17" i="7" s="1"/>
  <c r="CT16" i="7"/>
  <c r="CV16" i="7" s="1"/>
  <c r="CT15" i="7"/>
  <c r="CV15" i="7" s="1"/>
  <c r="CT14" i="7"/>
  <c r="CV14" i="7" s="1"/>
  <c r="CT13" i="7"/>
  <c r="CV13" i="7" s="1"/>
  <c r="CT12" i="7"/>
  <c r="CV12" i="7" s="1"/>
  <c r="CT11" i="7"/>
  <c r="CV11" i="7" s="1"/>
  <c r="CT10" i="7"/>
  <c r="CV10" i="7" s="1"/>
  <c r="CT9" i="7"/>
  <c r="CV9" i="7" s="1"/>
  <c r="CT8" i="7"/>
  <c r="CV8" i="7" s="1"/>
  <c r="CT7" i="7"/>
  <c r="CV7" i="7" s="1"/>
  <c r="CT6" i="7"/>
  <c r="CV6" i="7" s="1"/>
  <c r="CT5" i="7"/>
  <c r="CV5" i="7" s="1"/>
  <c r="CS4" i="7"/>
  <c r="CR4" i="7"/>
  <c r="CQ4" i="7"/>
  <c r="M327" i="3"/>
  <c r="L327" i="3"/>
  <c r="K327" i="3"/>
  <c r="J327" i="3"/>
  <c r="I327" i="3"/>
  <c r="H327" i="3"/>
  <c r="G327" i="3"/>
  <c r="F327" i="3"/>
  <c r="E327" i="3"/>
  <c r="D327" i="3"/>
  <c r="C327" i="3"/>
  <c r="Q344" i="2"/>
  <c r="I344" i="2"/>
  <c r="F344" i="2"/>
  <c r="Q343" i="2"/>
  <c r="I343" i="2"/>
  <c r="F343" i="2"/>
  <c r="Q342" i="2"/>
  <c r="I342" i="2"/>
  <c r="F342" i="2"/>
  <c r="Q341" i="2"/>
  <c r="I341" i="2"/>
  <c r="F341" i="2"/>
  <c r="Q340" i="2"/>
  <c r="I340" i="2"/>
  <c r="F340" i="2"/>
  <c r="Q339" i="2"/>
  <c r="I339" i="2"/>
  <c r="F339" i="2"/>
  <c r="Q338" i="2"/>
  <c r="I338" i="2"/>
  <c r="F338" i="2"/>
  <c r="Q337" i="2"/>
  <c r="I337" i="2"/>
  <c r="F337" i="2"/>
  <c r="Q336" i="2"/>
  <c r="I336" i="2"/>
  <c r="F336" i="2"/>
  <c r="Q335" i="2"/>
  <c r="I335" i="2"/>
  <c r="F335" i="2"/>
  <c r="Q334" i="2"/>
  <c r="I334" i="2"/>
  <c r="F334" i="2"/>
  <c r="Q333" i="2"/>
  <c r="I333" i="2"/>
  <c r="F333" i="2"/>
  <c r="Q332" i="2"/>
  <c r="I332" i="2"/>
  <c r="F332" i="2"/>
  <c r="Q331" i="2"/>
  <c r="I331" i="2"/>
  <c r="F331" i="2"/>
  <c r="Q330" i="2"/>
  <c r="I330" i="2"/>
  <c r="F330" i="2"/>
  <c r="Q329" i="2"/>
  <c r="I329" i="2"/>
  <c r="F329" i="2"/>
  <c r="Q328" i="2"/>
  <c r="I328" i="2"/>
  <c r="F328" i="2"/>
  <c r="Q327" i="2"/>
  <c r="I327" i="2"/>
  <c r="F327" i="2"/>
  <c r="Q326" i="2"/>
  <c r="I326" i="2"/>
  <c r="F326" i="2"/>
  <c r="Q325" i="2"/>
  <c r="I325" i="2"/>
  <c r="F325" i="2"/>
  <c r="Q324" i="2"/>
  <c r="I324" i="2"/>
  <c r="F324" i="2"/>
  <c r="Q323" i="2"/>
  <c r="I323" i="2"/>
  <c r="F323" i="2"/>
  <c r="Q322" i="2"/>
  <c r="I322" i="2"/>
  <c r="F322" i="2"/>
  <c r="Q321" i="2"/>
  <c r="I321" i="2"/>
  <c r="F321" i="2"/>
  <c r="Q320" i="2"/>
  <c r="I320" i="2"/>
  <c r="F320" i="2"/>
  <c r="Q319" i="2"/>
  <c r="I319" i="2"/>
  <c r="F319" i="2"/>
  <c r="Q318" i="2"/>
  <c r="I318" i="2"/>
  <c r="F318" i="2"/>
  <c r="Q317" i="2"/>
  <c r="I317" i="2"/>
  <c r="F317" i="2"/>
  <c r="Q316" i="2"/>
  <c r="I316" i="2"/>
  <c r="F316" i="2"/>
  <c r="Q315" i="2"/>
  <c r="I315" i="2"/>
  <c r="F315" i="2"/>
  <c r="Q314" i="2"/>
  <c r="I314" i="2"/>
  <c r="F314" i="2"/>
  <c r="Z313" i="2"/>
  <c r="Z14" i="5" s="1"/>
  <c r="Y313" i="2"/>
  <c r="Y14" i="5" s="1"/>
  <c r="X313" i="2"/>
  <c r="X14" i="5" s="1"/>
  <c r="W313" i="2"/>
  <c r="W14" i="5" s="1"/>
  <c r="V313" i="2"/>
  <c r="V14" i="5" s="1"/>
  <c r="U313" i="2"/>
  <c r="U14" i="5" s="1"/>
  <c r="T313" i="2"/>
  <c r="T14" i="5" s="1"/>
  <c r="S313" i="2"/>
  <c r="S14" i="5" s="1"/>
  <c r="R313" i="2"/>
  <c r="R14" i="5" s="1"/>
  <c r="P313" i="2"/>
  <c r="P14" i="5" s="1"/>
  <c r="O313" i="2"/>
  <c r="O14" i="5" s="1"/>
  <c r="N313" i="2"/>
  <c r="N14" i="5" s="1"/>
  <c r="M313" i="2"/>
  <c r="M14" i="5" s="1"/>
  <c r="L313" i="2"/>
  <c r="L14" i="5" s="1"/>
  <c r="K313" i="2"/>
  <c r="K14" i="5" s="1"/>
  <c r="J313" i="2"/>
  <c r="J14" i="5" s="1"/>
  <c r="H313" i="2"/>
  <c r="H14" i="5" s="1"/>
  <c r="G313" i="2"/>
  <c r="G14" i="5" s="1"/>
  <c r="E313" i="2"/>
  <c r="E14" i="5" s="1"/>
  <c r="D313" i="2"/>
  <c r="D14" i="5" s="1"/>
  <c r="C313" i="2"/>
  <c r="C14" i="5" s="1"/>
  <c r="O279" i="2"/>
  <c r="CT4" i="7" l="1"/>
  <c r="CV4" i="7" s="1"/>
  <c r="CU8" i="7"/>
  <c r="CU12" i="7"/>
  <c r="CU16" i="7"/>
  <c r="CU20" i="7"/>
  <c r="CU24" i="7"/>
  <c r="CU28" i="7"/>
  <c r="CU32" i="7"/>
  <c r="CU5" i="7"/>
  <c r="CU9" i="7"/>
  <c r="CU13" i="7"/>
  <c r="CU17" i="7"/>
  <c r="CU21" i="7"/>
  <c r="CU25" i="7"/>
  <c r="CU29" i="7"/>
  <c r="CU33" i="7"/>
  <c r="CU6" i="7"/>
  <c r="CU10" i="7"/>
  <c r="CU14" i="7"/>
  <c r="CU18" i="7"/>
  <c r="CU22" i="7"/>
  <c r="CU26" i="7"/>
  <c r="CU30" i="7"/>
  <c r="CU34" i="7"/>
  <c r="CU7" i="7"/>
  <c r="CU11" i="7"/>
  <c r="CU15" i="7"/>
  <c r="CU19" i="7"/>
  <c r="CU23" i="7"/>
  <c r="CU27" i="7"/>
  <c r="CU31" i="7"/>
  <c r="CU35" i="7"/>
  <c r="Q313" i="2"/>
  <c r="Q14" i="5" s="1"/>
  <c r="I313" i="2"/>
  <c r="I14" i="5" s="1"/>
  <c r="F313" i="2"/>
  <c r="F14" i="5" s="1"/>
  <c r="CJ34" i="7"/>
  <c r="CL34" i="7" s="1"/>
  <c r="CJ33" i="7"/>
  <c r="CK33" i="7" s="1"/>
  <c r="CJ32" i="7"/>
  <c r="CK32" i="7" s="1"/>
  <c r="CJ31" i="7"/>
  <c r="CL31" i="7" s="1"/>
  <c r="CJ30" i="7"/>
  <c r="CL30" i="7" s="1"/>
  <c r="CJ29" i="7"/>
  <c r="CJ28" i="7"/>
  <c r="CL28" i="7" s="1"/>
  <c r="CJ27" i="7"/>
  <c r="CL27" i="7" s="1"/>
  <c r="CJ26" i="7"/>
  <c r="CL26" i="7" s="1"/>
  <c r="CJ25" i="7"/>
  <c r="CL25" i="7" s="1"/>
  <c r="CJ24" i="7"/>
  <c r="CL24" i="7" s="1"/>
  <c r="CJ23" i="7"/>
  <c r="CL23" i="7" s="1"/>
  <c r="CJ22" i="7"/>
  <c r="CL22" i="7" s="1"/>
  <c r="CJ21" i="7"/>
  <c r="CL21" i="7" s="1"/>
  <c r="CJ20" i="7"/>
  <c r="CK20" i="7" s="1"/>
  <c r="CJ19" i="7"/>
  <c r="CL19" i="7" s="1"/>
  <c r="CJ18" i="7"/>
  <c r="CL18" i="7" s="1"/>
  <c r="CJ17" i="7"/>
  <c r="CL17" i="7" s="1"/>
  <c r="CJ16" i="7"/>
  <c r="CL16" i="7" s="1"/>
  <c r="CJ15" i="7"/>
  <c r="CL15" i="7" s="1"/>
  <c r="CJ14" i="7"/>
  <c r="CL14" i="7" s="1"/>
  <c r="CJ13" i="7"/>
  <c r="CL13" i="7" s="1"/>
  <c r="CJ12" i="7"/>
  <c r="CK12" i="7" s="1"/>
  <c r="CJ11" i="7"/>
  <c r="CK11" i="7" s="1"/>
  <c r="CJ10" i="7"/>
  <c r="CL10" i="7" s="1"/>
  <c r="CJ9" i="7"/>
  <c r="CL9" i="7" s="1"/>
  <c r="CJ8" i="7"/>
  <c r="CL8" i="7" s="1"/>
  <c r="CJ7" i="7"/>
  <c r="CK7" i="7" s="1"/>
  <c r="CJ6" i="7"/>
  <c r="CL6" i="7" s="1"/>
  <c r="CJ5" i="7"/>
  <c r="CK5" i="7" s="1"/>
  <c r="CI4" i="7"/>
  <c r="CH4" i="7"/>
  <c r="CG4" i="7"/>
  <c r="CF4" i="7"/>
  <c r="CE4" i="7"/>
  <c r="M293" i="3"/>
  <c r="L293" i="3"/>
  <c r="K293" i="3"/>
  <c r="J293" i="3"/>
  <c r="I293" i="3"/>
  <c r="H293" i="3"/>
  <c r="G293" i="3"/>
  <c r="F293" i="3"/>
  <c r="E293" i="3"/>
  <c r="D293" i="3"/>
  <c r="C293" i="3"/>
  <c r="I309" i="2"/>
  <c r="Q309" i="2"/>
  <c r="F309" i="2"/>
  <c r="Q308" i="2"/>
  <c r="I308" i="2"/>
  <c r="F308" i="2"/>
  <c r="Q307" i="2"/>
  <c r="I307" i="2"/>
  <c r="F307" i="2"/>
  <c r="Q306" i="2"/>
  <c r="I306" i="2"/>
  <c r="F306" i="2"/>
  <c r="Q305" i="2"/>
  <c r="I305" i="2"/>
  <c r="F305" i="2"/>
  <c r="Q304" i="2"/>
  <c r="I304" i="2"/>
  <c r="F304" i="2"/>
  <c r="Q303" i="2"/>
  <c r="I303" i="2"/>
  <c r="F303" i="2"/>
  <c r="Q302" i="2"/>
  <c r="I302" i="2"/>
  <c r="F302" i="2"/>
  <c r="Q301" i="2"/>
  <c r="I301" i="2"/>
  <c r="F301" i="2"/>
  <c r="Q300" i="2"/>
  <c r="I300" i="2"/>
  <c r="F300" i="2"/>
  <c r="Q299" i="2"/>
  <c r="I299" i="2"/>
  <c r="F299" i="2"/>
  <c r="Q298" i="2"/>
  <c r="I298" i="2"/>
  <c r="F298" i="2"/>
  <c r="Q297" i="2"/>
  <c r="I297" i="2"/>
  <c r="F297" i="2"/>
  <c r="Q296" i="2"/>
  <c r="I296" i="2"/>
  <c r="F296" i="2"/>
  <c r="Q295" i="2"/>
  <c r="I295" i="2"/>
  <c r="F295" i="2"/>
  <c r="Q294" i="2"/>
  <c r="I294" i="2"/>
  <c r="F294" i="2"/>
  <c r="Q293" i="2"/>
  <c r="I293" i="2"/>
  <c r="F293" i="2"/>
  <c r="Q292" i="2"/>
  <c r="I292" i="2"/>
  <c r="F292" i="2"/>
  <c r="Q291" i="2"/>
  <c r="I291" i="2"/>
  <c r="F291" i="2"/>
  <c r="Q290" i="2"/>
  <c r="I290" i="2"/>
  <c r="F290" i="2"/>
  <c r="Q289" i="2"/>
  <c r="I289" i="2"/>
  <c r="F289" i="2"/>
  <c r="Q288" i="2"/>
  <c r="I288" i="2"/>
  <c r="F288" i="2"/>
  <c r="Q287" i="2"/>
  <c r="I287" i="2"/>
  <c r="F287" i="2"/>
  <c r="Q286" i="2"/>
  <c r="I286" i="2"/>
  <c r="F286" i="2"/>
  <c r="Q285" i="2"/>
  <c r="I285" i="2"/>
  <c r="F285" i="2"/>
  <c r="Q284" i="2"/>
  <c r="I284" i="2"/>
  <c r="F284" i="2"/>
  <c r="Q283" i="2"/>
  <c r="I283" i="2"/>
  <c r="F283" i="2"/>
  <c r="Q282" i="2"/>
  <c r="I282" i="2"/>
  <c r="F282" i="2"/>
  <c r="Q281" i="2"/>
  <c r="I281" i="2"/>
  <c r="F281" i="2"/>
  <c r="Q280" i="2"/>
  <c r="I280" i="2"/>
  <c r="F280" i="2"/>
  <c r="Z279" i="2"/>
  <c r="Z13" i="5" s="1"/>
  <c r="Y279" i="2"/>
  <c r="Y13" i="5" s="1"/>
  <c r="X279" i="2"/>
  <c r="X13" i="5" s="1"/>
  <c r="W279" i="2"/>
  <c r="W13" i="5" s="1"/>
  <c r="V279" i="2"/>
  <c r="V13" i="5" s="1"/>
  <c r="U279" i="2"/>
  <c r="U13" i="5" s="1"/>
  <c r="T279" i="2"/>
  <c r="T13" i="5" s="1"/>
  <c r="S279" i="2"/>
  <c r="S13" i="5" s="1"/>
  <c r="R279" i="2"/>
  <c r="R13" i="5" s="1"/>
  <c r="P279" i="2"/>
  <c r="P13" i="5" s="1"/>
  <c r="O13" i="5"/>
  <c r="N279" i="2"/>
  <c r="M279" i="2"/>
  <c r="M13" i="5" s="1"/>
  <c r="L279" i="2"/>
  <c r="L13" i="5" s="1"/>
  <c r="K279" i="2"/>
  <c r="K13" i="5" s="1"/>
  <c r="J279" i="2"/>
  <c r="J13" i="5" s="1"/>
  <c r="H279" i="2"/>
  <c r="H13" i="5" s="1"/>
  <c r="G279" i="2"/>
  <c r="G13" i="5" s="1"/>
  <c r="E279" i="2"/>
  <c r="E13" i="5" s="1"/>
  <c r="D279" i="2"/>
  <c r="D13" i="5" s="1"/>
  <c r="C279" i="2"/>
  <c r="C13" i="5" s="1"/>
  <c r="Q275" i="2"/>
  <c r="Q274" i="2"/>
  <c r="Q273" i="2"/>
  <c r="CL29" i="7" l="1"/>
  <c r="CK29" i="7"/>
  <c r="CU4" i="7"/>
  <c r="N13" i="5"/>
  <c r="Q279" i="2"/>
  <c r="Q13" i="5" s="1"/>
  <c r="F279" i="2"/>
  <c r="F13" i="5" s="1"/>
  <c r="CK15" i="7"/>
  <c r="CK19" i="7"/>
  <c r="CK23" i="7"/>
  <c r="CK27" i="7"/>
  <c r="CK31" i="7"/>
  <c r="CL7" i="7"/>
  <c r="CL11" i="7"/>
  <c r="CJ4" i="7"/>
  <c r="CK8" i="7"/>
  <c r="CK16" i="7"/>
  <c r="CK24" i="7"/>
  <c r="CK28" i="7"/>
  <c r="CL12" i="7"/>
  <c r="CL20" i="7"/>
  <c r="CL32" i="7"/>
  <c r="CK13" i="7"/>
  <c r="CK21" i="7"/>
  <c r="CL5" i="7"/>
  <c r="CL33" i="7"/>
  <c r="CK6" i="7"/>
  <c r="CK10" i="7"/>
  <c r="CK14" i="7"/>
  <c r="CK18" i="7"/>
  <c r="CK22" i="7"/>
  <c r="CK26" i="7"/>
  <c r="CK30" i="7"/>
  <c r="CK34" i="7"/>
  <c r="CK9" i="7"/>
  <c r="CK17" i="7"/>
  <c r="CK25" i="7"/>
  <c r="I279" i="2"/>
  <c r="I13" i="5" s="1"/>
  <c r="Q272" i="2"/>
  <c r="Q271" i="2"/>
  <c r="CL4" i="7" l="1"/>
  <c r="CK4" i="7"/>
  <c r="Q270" i="2"/>
  <c r="Q269" i="2"/>
  <c r="Q268" i="2"/>
  <c r="Q267" i="2"/>
  <c r="Q266" i="2"/>
  <c r="Q265" i="2"/>
  <c r="Q264" i="2"/>
  <c r="Q263" i="2"/>
  <c r="Q262" i="2"/>
  <c r="Q261" i="2" l="1"/>
  <c r="Q260" i="2" l="1"/>
  <c r="Q259" i="2" l="1"/>
  <c r="Q258" i="2" l="1"/>
  <c r="Q257" i="2" l="1"/>
  <c r="Q256" i="2" l="1"/>
  <c r="Q255" i="2"/>
  <c r="Q254" i="2"/>
  <c r="Q253" i="2"/>
  <c r="Q252" i="2"/>
  <c r="Q251" i="2" l="1"/>
  <c r="Q250" i="2"/>
  <c r="Q249" i="2"/>
  <c r="Q248" i="2"/>
  <c r="Q247" i="2" l="1"/>
  <c r="Q246" i="2"/>
  <c r="Q245" i="2"/>
  <c r="BZ35" i="7" l="1"/>
  <c r="CB35" i="7" s="1"/>
  <c r="BZ34" i="7"/>
  <c r="CB34" i="7" s="1"/>
  <c r="BZ33" i="7"/>
  <c r="CB33" i="7" s="1"/>
  <c r="BZ32" i="7"/>
  <c r="CB32" i="7" s="1"/>
  <c r="BZ31" i="7"/>
  <c r="CB31" i="7" s="1"/>
  <c r="BZ30" i="7"/>
  <c r="CB30" i="7" s="1"/>
  <c r="BZ29" i="7"/>
  <c r="CB29" i="7" s="1"/>
  <c r="BZ28" i="7"/>
  <c r="CB28" i="7" s="1"/>
  <c r="BZ27" i="7"/>
  <c r="CB27" i="7" s="1"/>
  <c r="BZ26" i="7"/>
  <c r="CB26" i="7" s="1"/>
  <c r="BZ25" i="7"/>
  <c r="CB25" i="7" s="1"/>
  <c r="BZ24" i="7"/>
  <c r="CB24" i="7" s="1"/>
  <c r="BZ23" i="7"/>
  <c r="CB23" i="7" s="1"/>
  <c r="BZ22" i="7"/>
  <c r="CB22" i="7" s="1"/>
  <c r="BZ21" i="7"/>
  <c r="CB21" i="7" s="1"/>
  <c r="BZ20" i="7"/>
  <c r="CB20" i="7" s="1"/>
  <c r="BZ19" i="7"/>
  <c r="CB19" i="7" s="1"/>
  <c r="BZ18" i="7"/>
  <c r="CB18" i="7" s="1"/>
  <c r="BZ17" i="7"/>
  <c r="CB17" i="7" s="1"/>
  <c r="BZ16" i="7"/>
  <c r="CB16" i="7" s="1"/>
  <c r="BZ15" i="7"/>
  <c r="CB15" i="7" s="1"/>
  <c r="BZ14" i="7"/>
  <c r="CB14" i="7" s="1"/>
  <c r="BZ13" i="7"/>
  <c r="CB13" i="7" s="1"/>
  <c r="BZ12" i="7"/>
  <c r="CB12" i="7" s="1"/>
  <c r="BZ11" i="7"/>
  <c r="CB11" i="7" s="1"/>
  <c r="BZ10" i="7"/>
  <c r="CB10" i="7" s="1"/>
  <c r="BZ9" i="7"/>
  <c r="CB9" i="7" s="1"/>
  <c r="BZ8" i="7"/>
  <c r="CB8" i="7" s="1"/>
  <c r="BZ7" i="7"/>
  <c r="CB7" i="7" s="1"/>
  <c r="BZ6" i="7"/>
  <c r="CB6" i="7" s="1"/>
  <c r="BZ5" i="7"/>
  <c r="CB5" i="7" s="1"/>
  <c r="BY4" i="7"/>
  <c r="BX4" i="7"/>
  <c r="BW4" i="7"/>
  <c r="BV4" i="7"/>
  <c r="BU4" i="7"/>
  <c r="M258" i="3"/>
  <c r="L258" i="3"/>
  <c r="K258" i="3"/>
  <c r="J258" i="3"/>
  <c r="I258" i="3"/>
  <c r="H258" i="3"/>
  <c r="G258" i="3"/>
  <c r="F258" i="3"/>
  <c r="E258" i="3"/>
  <c r="D258" i="3"/>
  <c r="C258" i="3"/>
  <c r="BZ4" i="7" l="1"/>
  <c r="CB4" i="7" s="1"/>
  <c r="CA8" i="7"/>
  <c r="CA12" i="7"/>
  <c r="CA16" i="7"/>
  <c r="CA20" i="7"/>
  <c r="CA24" i="7"/>
  <c r="CA28" i="7"/>
  <c r="CA32" i="7"/>
  <c r="CA5" i="7"/>
  <c r="CA9" i="7"/>
  <c r="CA13" i="7"/>
  <c r="CA17" i="7"/>
  <c r="CA21" i="7"/>
  <c r="CA25" i="7"/>
  <c r="CA29" i="7"/>
  <c r="CA33" i="7"/>
  <c r="CA6" i="7"/>
  <c r="CA10" i="7"/>
  <c r="CA14" i="7"/>
  <c r="CA18" i="7"/>
  <c r="CA22" i="7"/>
  <c r="CA26" i="7"/>
  <c r="CA30" i="7"/>
  <c r="CA34" i="7"/>
  <c r="CA7" i="7"/>
  <c r="CA11" i="7"/>
  <c r="CA15" i="7"/>
  <c r="CA19" i="7"/>
  <c r="CA23" i="7"/>
  <c r="CA27" i="7"/>
  <c r="CA31" i="7"/>
  <c r="CA35" i="7"/>
  <c r="I248" i="2"/>
  <c r="I246" i="2"/>
  <c r="I247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45" i="2"/>
  <c r="F247" i="2"/>
  <c r="F246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45" i="2"/>
  <c r="Z244" i="2"/>
  <c r="Z12" i="5" s="1"/>
  <c r="Y244" i="2"/>
  <c r="Y12" i="5" s="1"/>
  <c r="X244" i="2"/>
  <c r="X12" i="5" s="1"/>
  <c r="W244" i="2"/>
  <c r="W12" i="5" s="1"/>
  <c r="V244" i="2"/>
  <c r="V12" i="5" s="1"/>
  <c r="U244" i="2"/>
  <c r="U12" i="5" s="1"/>
  <c r="T244" i="2"/>
  <c r="T12" i="5" s="1"/>
  <c r="S244" i="2"/>
  <c r="S12" i="5" s="1"/>
  <c r="R244" i="2"/>
  <c r="R12" i="5" s="1"/>
  <c r="P244" i="2"/>
  <c r="P12" i="5" s="1"/>
  <c r="O244" i="2"/>
  <c r="O12" i="5" s="1"/>
  <c r="N244" i="2"/>
  <c r="M244" i="2"/>
  <c r="M12" i="5" s="1"/>
  <c r="L244" i="2"/>
  <c r="L12" i="5" s="1"/>
  <c r="K244" i="2"/>
  <c r="K12" i="5" s="1"/>
  <c r="J244" i="2"/>
  <c r="J12" i="5" s="1"/>
  <c r="H244" i="2"/>
  <c r="H12" i="5" s="1"/>
  <c r="G244" i="2"/>
  <c r="G12" i="5" s="1"/>
  <c r="E244" i="2"/>
  <c r="E12" i="5" s="1"/>
  <c r="D244" i="2"/>
  <c r="D12" i="5" s="1"/>
  <c r="C244" i="2"/>
  <c r="C12" i="5" s="1"/>
  <c r="Q240" i="2"/>
  <c r="Q244" i="2" l="1"/>
  <c r="Q12" i="5" s="1"/>
  <c r="CA4" i="7"/>
  <c r="N12" i="5"/>
  <c r="F244" i="2"/>
  <c r="F12" i="5" s="1"/>
  <c r="I244" i="2"/>
  <c r="I12" i="5" s="1"/>
  <c r="Q239" i="2"/>
  <c r="Q238" i="2" l="1"/>
  <c r="Q237" i="2" l="1"/>
  <c r="BP31" i="7" l="1"/>
  <c r="Q236" i="2"/>
  <c r="BP30" i="7"/>
  <c r="Q235" i="2"/>
  <c r="Q234" i="2" l="1"/>
  <c r="Q233" i="2" l="1"/>
  <c r="Q232" i="2"/>
  <c r="Q231" i="2"/>
  <c r="BP25" i="7"/>
  <c r="Q230" i="2"/>
  <c r="BP24" i="7"/>
  <c r="Q229" i="2"/>
  <c r="BP23" i="7"/>
  <c r="Q228" i="2"/>
  <c r="Q227" i="2" l="1"/>
  <c r="Q226" i="2" l="1"/>
  <c r="Q225" i="2" l="1"/>
  <c r="Q224" i="2"/>
  <c r="Q223" i="2"/>
  <c r="Q222" i="2" l="1"/>
  <c r="Q221" i="2"/>
  <c r="Q220" i="2"/>
  <c r="Q219" i="2"/>
  <c r="Q218" i="2"/>
  <c r="Q217" i="2"/>
  <c r="Q216" i="2" l="1"/>
  <c r="Q215" i="2"/>
  <c r="Q214" i="2"/>
  <c r="Q213" i="2" l="1"/>
  <c r="Q212" i="2"/>
  <c r="Q211" i="2"/>
  <c r="Q210" i="2"/>
  <c r="Q176" i="2"/>
  <c r="BK4" i="7" l="1"/>
  <c r="BP35" i="7"/>
  <c r="BR35" i="7" s="1"/>
  <c r="BP34" i="7"/>
  <c r="BR34" i="7" s="1"/>
  <c r="BP33" i="7"/>
  <c r="BQ33" i="7" s="1"/>
  <c r="BP32" i="7"/>
  <c r="BR32" i="7" s="1"/>
  <c r="BR31" i="7"/>
  <c r="BR30" i="7"/>
  <c r="BP29" i="7"/>
  <c r="BR29" i="7" s="1"/>
  <c r="BP28" i="7"/>
  <c r="BR28" i="7" s="1"/>
  <c r="BP27" i="7"/>
  <c r="BR27" i="7" s="1"/>
  <c r="BP26" i="7"/>
  <c r="BR26" i="7" s="1"/>
  <c r="BR25" i="7"/>
  <c r="BR24" i="7"/>
  <c r="BR23" i="7"/>
  <c r="BP22" i="7"/>
  <c r="BR22" i="7" s="1"/>
  <c r="BP21" i="7"/>
  <c r="BR21" i="7" s="1"/>
  <c r="BP20" i="7"/>
  <c r="BR20" i="7" s="1"/>
  <c r="BP19" i="7"/>
  <c r="BR19" i="7" s="1"/>
  <c r="BP18" i="7"/>
  <c r="BR18" i="7" s="1"/>
  <c r="BP17" i="7"/>
  <c r="BR17" i="7" s="1"/>
  <c r="BP16" i="7"/>
  <c r="BR16" i="7" s="1"/>
  <c r="BP15" i="7"/>
  <c r="BR15" i="7" s="1"/>
  <c r="BP14" i="7"/>
  <c r="BR14" i="7" s="1"/>
  <c r="BP13" i="7"/>
  <c r="BR13" i="7" s="1"/>
  <c r="BP12" i="7"/>
  <c r="BR12" i="7" s="1"/>
  <c r="BP11" i="7"/>
  <c r="BR11" i="7" s="1"/>
  <c r="BP10" i="7"/>
  <c r="BR10" i="7" s="1"/>
  <c r="BP9" i="7"/>
  <c r="BR9" i="7" s="1"/>
  <c r="BP8" i="7"/>
  <c r="BR8" i="7" s="1"/>
  <c r="BP7" i="7"/>
  <c r="BP6" i="7"/>
  <c r="BR6" i="7" s="1"/>
  <c r="BP5" i="7"/>
  <c r="BR5" i="7" s="1"/>
  <c r="BO4" i="7"/>
  <c r="BN4" i="7"/>
  <c r="BM4" i="7"/>
  <c r="BL4" i="7"/>
  <c r="M221" i="3"/>
  <c r="L221" i="3"/>
  <c r="K221" i="3"/>
  <c r="J221" i="3"/>
  <c r="I221" i="3"/>
  <c r="H221" i="3"/>
  <c r="G221" i="3"/>
  <c r="F221" i="3"/>
  <c r="E221" i="3"/>
  <c r="D221" i="3"/>
  <c r="C221" i="3"/>
  <c r="Y209" i="2"/>
  <c r="Y11" i="5" s="1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Z209" i="2"/>
  <c r="Z11" i="5" s="1"/>
  <c r="X209" i="2"/>
  <c r="X11" i="5" s="1"/>
  <c r="W209" i="2"/>
  <c r="W11" i="5" s="1"/>
  <c r="V209" i="2"/>
  <c r="V11" i="5" s="1"/>
  <c r="U209" i="2"/>
  <c r="U11" i="5" s="1"/>
  <c r="T209" i="2"/>
  <c r="T11" i="5" s="1"/>
  <c r="S209" i="2"/>
  <c r="S11" i="5" s="1"/>
  <c r="R209" i="2"/>
  <c r="R11" i="5" s="1"/>
  <c r="P209" i="2"/>
  <c r="P11" i="5" s="1"/>
  <c r="O209" i="2"/>
  <c r="O11" i="5" s="1"/>
  <c r="N209" i="2"/>
  <c r="M209" i="2"/>
  <c r="M11" i="5" s="1"/>
  <c r="L209" i="2"/>
  <c r="L11" i="5" s="1"/>
  <c r="K209" i="2"/>
  <c r="K11" i="5" s="1"/>
  <c r="J209" i="2"/>
  <c r="J11" i="5" s="1"/>
  <c r="H209" i="2"/>
  <c r="H11" i="5" s="1"/>
  <c r="G209" i="2"/>
  <c r="G11" i="5" s="1"/>
  <c r="E209" i="2"/>
  <c r="E11" i="5" s="1"/>
  <c r="D209" i="2"/>
  <c r="D11" i="5" s="1"/>
  <c r="C209" i="2"/>
  <c r="C11" i="5" s="1"/>
  <c r="Q205" i="2"/>
  <c r="N11" i="5" l="1"/>
  <c r="Q209" i="2"/>
  <c r="Q11" i="5" s="1"/>
  <c r="BQ16" i="7"/>
  <c r="BQ10" i="7"/>
  <c r="BQ29" i="7"/>
  <c r="BQ13" i="7"/>
  <c r="BQ6" i="7"/>
  <c r="BP4" i="7"/>
  <c r="BR4" i="7" s="1"/>
  <c r="BQ20" i="7"/>
  <c r="BQ24" i="7"/>
  <c r="BQ28" i="7"/>
  <c r="BQ32" i="7"/>
  <c r="BQ7" i="7"/>
  <c r="BQ11" i="7"/>
  <c r="BQ14" i="7"/>
  <c r="BQ17" i="7"/>
  <c r="BR7" i="7"/>
  <c r="BQ21" i="7"/>
  <c r="BQ25" i="7"/>
  <c r="BR33" i="7"/>
  <c r="BQ8" i="7"/>
  <c r="BQ12" i="7"/>
  <c r="BQ15" i="7"/>
  <c r="BQ18" i="7"/>
  <c r="BQ22" i="7"/>
  <c r="BQ26" i="7"/>
  <c r="BQ30" i="7"/>
  <c r="BQ34" i="7"/>
  <c r="BQ5" i="7"/>
  <c r="BQ9" i="7"/>
  <c r="BQ19" i="7"/>
  <c r="BQ23" i="7"/>
  <c r="BQ27" i="7"/>
  <c r="BQ31" i="7"/>
  <c r="BQ35" i="7"/>
  <c r="I209" i="2"/>
  <c r="I11" i="5" s="1"/>
  <c r="F209" i="2"/>
  <c r="F11" i="5" s="1"/>
  <c r="F205" i="2"/>
  <c r="Q204" i="2"/>
  <c r="F204" i="2"/>
  <c r="Q203" i="2"/>
  <c r="F203" i="2"/>
  <c r="Q202" i="2"/>
  <c r="F202" i="2"/>
  <c r="Q201" i="2"/>
  <c r="F201" i="2"/>
  <c r="Q200" i="2"/>
  <c r="F200" i="2"/>
  <c r="Q199" i="2"/>
  <c r="F198" i="2"/>
  <c r="F199" i="2"/>
  <c r="Q198" i="2"/>
  <c r="BQ4" i="7" l="1"/>
  <c r="Q197" i="2"/>
  <c r="F197" i="2"/>
  <c r="Q196" i="2"/>
  <c r="F196" i="2"/>
  <c r="Q195" i="2"/>
  <c r="F195" i="2"/>
  <c r="Q194" i="2"/>
  <c r="F194" i="2"/>
  <c r="Q193" i="2"/>
  <c r="F193" i="2"/>
  <c r="Q192" i="2" l="1"/>
  <c r="F192" i="2"/>
  <c r="Q191" i="2"/>
  <c r="F191" i="2"/>
  <c r="BF19" i="7"/>
  <c r="Q190" i="2"/>
  <c r="F190" i="2"/>
  <c r="Q189" i="2"/>
  <c r="F189" i="2"/>
  <c r="Q188" i="2" l="1"/>
  <c r="F188" i="2"/>
  <c r="Q187" i="2"/>
  <c r="F187" i="2"/>
  <c r="F186" i="2"/>
  <c r="Q186" i="2" l="1"/>
  <c r="Q185" i="2"/>
  <c r="F185" i="2"/>
  <c r="Q184" i="2"/>
  <c r="F184" i="2"/>
  <c r="Q183" i="2"/>
  <c r="F183" i="2"/>
  <c r="Q182" i="2"/>
  <c r="F182" i="2"/>
  <c r="Q181" i="2" l="1"/>
  <c r="F181" i="2"/>
  <c r="Q180" i="2"/>
  <c r="F180" i="2"/>
  <c r="Q179" i="2"/>
  <c r="F179" i="2"/>
  <c r="Q178" i="2"/>
  <c r="F178" i="2"/>
  <c r="Q177" i="2"/>
  <c r="F177" i="2"/>
  <c r="BF34" i="7"/>
  <c r="BH34" i="7" s="1"/>
  <c r="BF33" i="7"/>
  <c r="BG33" i="7" s="1"/>
  <c r="BF32" i="7"/>
  <c r="BH32" i="7" s="1"/>
  <c r="BF31" i="7"/>
  <c r="BH31" i="7" s="1"/>
  <c r="BF30" i="7"/>
  <c r="BH30" i="7" s="1"/>
  <c r="BF29" i="7"/>
  <c r="BF28" i="7"/>
  <c r="BH28" i="7" s="1"/>
  <c r="BF27" i="7"/>
  <c r="BH27" i="7" s="1"/>
  <c r="BF26" i="7"/>
  <c r="BH26" i="7" s="1"/>
  <c r="BF25" i="7"/>
  <c r="BH25" i="7" s="1"/>
  <c r="BF24" i="7"/>
  <c r="BG24" i="7" s="1"/>
  <c r="BF23" i="7"/>
  <c r="BF22" i="7"/>
  <c r="BH22" i="7" s="1"/>
  <c r="BF21" i="7"/>
  <c r="BH21" i="7" s="1"/>
  <c r="BF20" i="7"/>
  <c r="BH20" i="7" s="1"/>
  <c r="BH19" i="7"/>
  <c r="BF18" i="7"/>
  <c r="BF17" i="7"/>
  <c r="BF16" i="7"/>
  <c r="BG16" i="7" s="1"/>
  <c r="BF15" i="7"/>
  <c r="BH15" i="7" s="1"/>
  <c r="BF14" i="7"/>
  <c r="BF13" i="7"/>
  <c r="BG13" i="7" s="1"/>
  <c r="BF12" i="7"/>
  <c r="BF11" i="7"/>
  <c r="BH11" i="7" s="1"/>
  <c r="BF10" i="7"/>
  <c r="BH10" i="7" s="1"/>
  <c r="BF9" i="7"/>
  <c r="BH9" i="7" s="1"/>
  <c r="BF8" i="7"/>
  <c r="BH8" i="7" s="1"/>
  <c r="BF7" i="7"/>
  <c r="BG7" i="7" s="1"/>
  <c r="BF6" i="7"/>
  <c r="BH6" i="7" s="1"/>
  <c r="BF5" i="7"/>
  <c r="BH5" i="7" s="1"/>
  <c r="BE4" i="7"/>
  <c r="BD4" i="7"/>
  <c r="BC4" i="7"/>
  <c r="BB4" i="7"/>
  <c r="BA4" i="7"/>
  <c r="M185" i="3"/>
  <c r="L185" i="3"/>
  <c r="K185" i="3"/>
  <c r="J185" i="3"/>
  <c r="I185" i="3"/>
  <c r="H185" i="3"/>
  <c r="G185" i="3"/>
  <c r="F185" i="3"/>
  <c r="E185" i="3"/>
  <c r="D185" i="3"/>
  <c r="C185" i="3"/>
  <c r="F176" i="2"/>
  <c r="Q171" i="2"/>
  <c r="I171" i="2"/>
  <c r="F171" i="2"/>
  <c r="BH29" i="7" l="1"/>
  <c r="BG29" i="7"/>
  <c r="BH23" i="7"/>
  <c r="BG23" i="7"/>
  <c r="BG10" i="7"/>
  <c r="BH16" i="7"/>
  <c r="BH17" i="7"/>
  <c r="BH18" i="7"/>
  <c r="BH12" i="7"/>
  <c r="BH13" i="7"/>
  <c r="BH14" i="7"/>
  <c r="BG6" i="7"/>
  <c r="BG20" i="7"/>
  <c r="BG32" i="7"/>
  <c r="BG11" i="7"/>
  <c r="BF4" i="7"/>
  <c r="BG4" i="7" s="1"/>
  <c r="BH33" i="7"/>
  <c r="BG12" i="7"/>
  <c r="BG26" i="7"/>
  <c r="BG9" i="7"/>
  <c r="BG28" i="7"/>
  <c r="BH24" i="7"/>
  <c r="BG14" i="7"/>
  <c r="BH7" i="7"/>
  <c r="BG21" i="7"/>
  <c r="BG8" i="7"/>
  <c r="BG15" i="7"/>
  <c r="BG22" i="7"/>
  <c r="BG30" i="7"/>
  <c r="BG5" i="7"/>
  <c r="BG19" i="7"/>
  <c r="BG27" i="7"/>
  <c r="BG31" i="7"/>
  <c r="BG17" i="7"/>
  <c r="BG25" i="7"/>
  <c r="BG18" i="7"/>
  <c r="BG34" i="7"/>
  <c r="Q170" i="2"/>
  <c r="I170" i="2"/>
  <c r="F170" i="2"/>
  <c r="BH4" i="7" l="1"/>
  <c r="Q169" i="2"/>
  <c r="I169" i="2"/>
  <c r="F169" i="2"/>
  <c r="Q168" i="2" l="1"/>
  <c r="I168" i="2"/>
  <c r="F168" i="2"/>
  <c r="Q167" i="2"/>
  <c r="I167" i="2"/>
  <c r="F167" i="2"/>
  <c r="Q166" i="2"/>
  <c r="I166" i="2"/>
  <c r="F166" i="2"/>
  <c r="Q165" i="2"/>
  <c r="I165" i="2"/>
  <c r="F165" i="2"/>
  <c r="Q164" i="2"/>
  <c r="I164" i="2"/>
  <c r="F164" i="2"/>
  <c r="Q163" i="2"/>
  <c r="I163" i="2"/>
  <c r="F163" i="2"/>
  <c r="Q162" i="2"/>
  <c r="F162" i="2"/>
  <c r="Q161" i="2"/>
  <c r="I161" i="2"/>
  <c r="F161" i="2"/>
  <c r="Q160" i="2"/>
  <c r="I160" i="2"/>
  <c r="F160" i="2"/>
  <c r="Q159" i="2"/>
  <c r="I159" i="2"/>
  <c r="F159" i="2"/>
  <c r="Q158" i="2" l="1"/>
  <c r="F158" i="2"/>
  <c r="Q157" i="2"/>
  <c r="F157" i="2"/>
  <c r="I112" i="3"/>
  <c r="J112" i="3"/>
  <c r="K112" i="3"/>
  <c r="H112" i="3"/>
  <c r="Q156" i="2"/>
  <c r="I156" i="2"/>
  <c r="F156" i="2"/>
  <c r="Q155" i="2"/>
  <c r="I155" i="2"/>
  <c r="F155" i="2"/>
  <c r="Q154" i="2"/>
  <c r="I154" i="2"/>
  <c r="F154" i="2"/>
  <c r="Q153" i="2"/>
  <c r="I153" i="2"/>
  <c r="F153" i="2"/>
  <c r="Q152" i="2"/>
  <c r="I152" i="2"/>
  <c r="F152" i="2"/>
  <c r="Q151" i="2"/>
  <c r="I151" i="2"/>
  <c r="F151" i="2"/>
  <c r="Q150" i="2"/>
  <c r="I150" i="2"/>
  <c r="F150" i="2"/>
  <c r="Q149" i="2"/>
  <c r="I149" i="2"/>
  <c r="F149" i="2"/>
  <c r="AV12" i="7"/>
  <c r="AW12" i="7" s="1"/>
  <c r="Q148" i="2"/>
  <c r="I148" i="2"/>
  <c r="F148" i="2"/>
  <c r="Q147" i="2"/>
  <c r="I147" i="2"/>
  <c r="F147" i="2"/>
  <c r="Q146" i="2"/>
  <c r="I146" i="2"/>
  <c r="F146" i="2"/>
  <c r="Q145" i="2"/>
  <c r="I145" i="2"/>
  <c r="F145" i="2"/>
  <c r="Q144" i="2"/>
  <c r="I144" i="2"/>
  <c r="F144" i="2"/>
  <c r="Q143" i="2"/>
  <c r="I143" i="2"/>
  <c r="F143" i="2"/>
  <c r="Q142" i="2"/>
  <c r="I142" i="2"/>
  <c r="F142" i="2"/>
  <c r="AV35" i="7" l="1"/>
  <c r="AX35" i="7" s="1"/>
  <c r="AV34" i="7"/>
  <c r="AX34" i="7" s="1"/>
  <c r="AV33" i="7"/>
  <c r="AX33" i="7" s="1"/>
  <c r="AV32" i="7"/>
  <c r="AX32" i="7" s="1"/>
  <c r="AV31" i="7"/>
  <c r="AV30" i="7"/>
  <c r="AX30" i="7" s="1"/>
  <c r="AV29" i="7"/>
  <c r="AX29" i="7" s="1"/>
  <c r="AV28" i="7"/>
  <c r="AX28" i="7" s="1"/>
  <c r="AV27" i="7"/>
  <c r="AX27" i="7" s="1"/>
  <c r="AV26" i="7"/>
  <c r="AX26" i="7" s="1"/>
  <c r="AV25" i="7"/>
  <c r="AX25" i="7" s="1"/>
  <c r="AV24" i="7"/>
  <c r="AX24" i="7" s="1"/>
  <c r="AV23" i="7"/>
  <c r="AX23" i="7" s="1"/>
  <c r="AV22" i="7"/>
  <c r="AX22" i="7" s="1"/>
  <c r="AV21" i="7"/>
  <c r="AX21" i="7" s="1"/>
  <c r="AV20" i="7"/>
  <c r="AX20" i="7" s="1"/>
  <c r="AV19" i="7"/>
  <c r="AX19" i="7" s="1"/>
  <c r="AV18" i="7"/>
  <c r="AX18" i="7" s="1"/>
  <c r="AV17" i="7"/>
  <c r="AX17" i="7" s="1"/>
  <c r="AV16" i="7"/>
  <c r="AX16" i="7" s="1"/>
  <c r="AV15" i="7"/>
  <c r="AX15" i="7" s="1"/>
  <c r="AV14" i="7"/>
  <c r="AX14" i="7" s="1"/>
  <c r="AV13" i="7"/>
  <c r="AX13" i="7" s="1"/>
  <c r="AX12" i="7"/>
  <c r="AV11" i="7"/>
  <c r="AX11" i="7" s="1"/>
  <c r="AV10" i="7"/>
  <c r="AX10" i="7" s="1"/>
  <c r="AV9" i="7"/>
  <c r="AX9" i="7" s="1"/>
  <c r="AV8" i="7"/>
  <c r="AX8" i="7" s="1"/>
  <c r="AV7" i="7"/>
  <c r="AX7" i="7" s="1"/>
  <c r="AV6" i="7"/>
  <c r="AX6" i="7" s="1"/>
  <c r="AV5" i="7"/>
  <c r="AX5" i="7" s="1"/>
  <c r="AU4" i="7"/>
  <c r="AT4" i="7"/>
  <c r="AS4" i="7"/>
  <c r="AR4" i="7"/>
  <c r="AQ4" i="7"/>
  <c r="M148" i="3"/>
  <c r="L148" i="3"/>
  <c r="K148" i="3"/>
  <c r="J148" i="3"/>
  <c r="I148" i="3"/>
  <c r="H148" i="3"/>
  <c r="G148" i="3"/>
  <c r="F148" i="3"/>
  <c r="E148" i="3"/>
  <c r="D148" i="3"/>
  <c r="C148" i="3"/>
  <c r="AX31" i="7" l="1"/>
  <c r="AW31" i="7"/>
  <c r="AV4" i="7"/>
  <c r="AX4" i="7" s="1"/>
  <c r="AW8" i="7"/>
  <c r="AW16" i="7"/>
  <c r="AW20" i="7"/>
  <c r="AW24" i="7"/>
  <c r="AW28" i="7"/>
  <c r="AW32" i="7"/>
  <c r="AW5" i="7"/>
  <c r="AW9" i="7"/>
  <c r="AW13" i="7"/>
  <c r="AW17" i="7"/>
  <c r="AW21" i="7"/>
  <c r="AW25" i="7"/>
  <c r="AW29" i="7"/>
  <c r="AW33" i="7"/>
  <c r="AW6" i="7"/>
  <c r="AW10" i="7"/>
  <c r="AW14" i="7"/>
  <c r="AW18" i="7"/>
  <c r="AW22" i="7"/>
  <c r="AW26" i="7"/>
  <c r="AW30" i="7"/>
  <c r="AW34" i="7"/>
  <c r="AW7" i="7"/>
  <c r="AW11" i="7"/>
  <c r="AW15" i="7"/>
  <c r="AW19" i="7"/>
  <c r="AW23" i="7"/>
  <c r="AW27" i="7"/>
  <c r="AW35" i="7"/>
  <c r="Q141" i="2"/>
  <c r="I141" i="2"/>
  <c r="F141" i="2"/>
  <c r="F140" i="2" s="1"/>
  <c r="AW4" i="7" l="1"/>
  <c r="I136" i="2" l="1"/>
  <c r="F136" i="2"/>
  <c r="AL33" i="7"/>
  <c r="I135" i="2"/>
  <c r="F135" i="2"/>
  <c r="I134" i="2"/>
  <c r="F134" i="2"/>
  <c r="I133" i="2"/>
  <c r="F133" i="2"/>
  <c r="I132" i="2"/>
  <c r="F132" i="2"/>
  <c r="I131" i="2"/>
  <c r="F131" i="2"/>
  <c r="AG4" i="7"/>
  <c r="AH4" i="7"/>
  <c r="I130" i="2"/>
  <c r="F130" i="2"/>
  <c r="I129" i="2"/>
  <c r="F129" i="2"/>
  <c r="F128" i="2"/>
  <c r="U106" i="2"/>
  <c r="F127" i="2"/>
  <c r="F126" i="2" l="1"/>
  <c r="C106" i="2" l="1"/>
  <c r="F125" i="2"/>
  <c r="F124" i="2" l="1"/>
  <c r="F123" i="2"/>
  <c r="I122" i="2"/>
  <c r="F122" i="2"/>
  <c r="I121" i="2" l="1"/>
  <c r="F121" i="2"/>
  <c r="Q119" i="2" l="1"/>
  <c r="I120" i="2"/>
  <c r="I119" i="2"/>
  <c r="F120" i="2"/>
  <c r="F119" i="2"/>
  <c r="F118" i="2"/>
  <c r="F117" i="2"/>
  <c r="D22" i="4" l="1"/>
  <c r="D21" i="4"/>
  <c r="F116" i="2"/>
  <c r="F115" i="2"/>
  <c r="F114" i="2" l="1"/>
  <c r="F113" i="2" l="1"/>
  <c r="F112" i="2" l="1"/>
  <c r="F111" i="2"/>
  <c r="F110" i="2"/>
  <c r="F109" i="2"/>
  <c r="F108" i="2"/>
  <c r="AL34" i="7" l="1"/>
  <c r="AN34" i="7" s="1"/>
  <c r="AN33" i="7"/>
  <c r="AL32" i="7"/>
  <c r="AM32" i="7" s="1"/>
  <c r="AL31" i="7"/>
  <c r="AN31" i="7" s="1"/>
  <c r="AL30" i="7"/>
  <c r="AN30" i="7" s="1"/>
  <c r="AL29" i="7"/>
  <c r="AN29" i="7" s="1"/>
  <c r="AL28" i="7"/>
  <c r="AN28" i="7" s="1"/>
  <c r="AL27" i="7"/>
  <c r="AN27" i="7" s="1"/>
  <c r="AL26" i="7"/>
  <c r="AN26" i="7" s="1"/>
  <c r="AL25" i="7"/>
  <c r="AN25" i="7" s="1"/>
  <c r="AL24" i="7"/>
  <c r="AN24" i="7" s="1"/>
  <c r="AL23" i="7"/>
  <c r="AN23" i="7" s="1"/>
  <c r="AL22" i="7"/>
  <c r="AN22" i="7" s="1"/>
  <c r="AL21" i="7"/>
  <c r="AN21" i="7" s="1"/>
  <c r="AL20" i="7"/>
  <c r="AN20" i="7" s="1"/>
  <c r="AL19" i="7"/>
  <c r="AN19" i="7" s="1"/>
  <c r="AL18" i="7"/>
  <c r="AN18" i="7" s="1"/>
  <c r="AL17" i="7"/>
  <c r="AN17" i="7" s="1"/>
  <c r="AL16" i="7"/>
  <c r="AN16" i="7" s="1"/>
  <c r="AL15" i="7"/>
  <c r="AN15" i="7" s="1"/>
  <c r="AL14" i="7"/>
  <c r="AN14" i="7" s="1"/>
  <c r="AL13" i="7"/>
  <c r="AN13" i="7" s="1"/>
  <c r="AL12" i="7"/>
  <c r="AN12" i="7" s="1"/>
  <c r="AL11" i="7"/>
  <c r="AN11" i="7" s="1"/>
  <c r="AL10" i="7"/>
  <c r="AN10" i="7" s="1"/>
  <c r="AL9" i="7"/>
  <c r="AN9" i="7" s="1"/>
  <c r="AL8" i="7"/>
  <c r="AN8" i="7" s="1"/>
  <c r="AL7" i="7"/>
  <c r="AN7" i="7" s="1"/>
  <c r="AL6" i="7"/>
  <c r="AN6" i="7" s="1"/>
  <c r="AL5" i="7"/>
  <c r="AN5" i="7" s="1"/>
  <c r="AK4" i="7"/>
  <c r="AJ4" i="7"/>
  <c r="AI4" i="7"/>
  <c r="M112" i="3"/>
  <c r="L112" i="3"/>
  <c r="G112" i="3"/>
  <c r="F112" i="3"/>
  <c r="E112" i="3"/>
  <c r="D112" i="3"/>
  <c r="C112" i="3"/>
  <c r="I107" i="2"/>
  <c r="F107" i="2"/>
  <c r="AL4" i="7" l="1"/>
  <c r="AN4" i="7" s="1"/>
  <c r="AM20" i="7"/>
  <c r="AN32" i="7"/>
  <c r="AM8" i="7"/>
  <c r="AM12" i="7"/>
  <c r="AM16" i="7"/>
  <c r="AM24" i="7"/>
  <c r="AM28" i="7"/>
  <c r="AM5" i="7"/>
  <c r="AM9" i="7"/>
  <c r="AM13" i="7"/>
  <c r="AM17" i="7"/>
  <c r="AM21" i="7"/>
  <c r="AM25" i="7"/>
  <c r="AM29" i="7"/>
  <c r="AM33" i="7"/>
  <c r="AM6" i="7"/>
  <c r="AM14" i="7"/>
  <c r="AM22" i="7"/>
  <c r="AM26" i="7"/>
  <c r="AM34" i="7"/>
  <c r="AM31" i="7"/>
  <c r="AM10" i="7"/>
  <c r="AM18" i="7"/>
  <c r="AM30" i="7"/>
  <c r="AM7" i="7"/>
  <c r="AM11" i="7"/>
  <c r="AM15" i="7"/>
  <c r="AM19" i="7"/>
  <c r="AM23" i="7"/>
  <c r="AM27" i="7"/>
  <c r="F102" i="2"/>
  <c r="AM4" i="7" l="1"/>
  <c r="F101" i="2"/>
  <c r="Q100" i="2"/>
  <c r="I100" i="2"/>
  <c r="F100" i="2"/>
  <c r="Q99" i="2"/>
  <c r="I99" i="2"/>
  <c r="F99" i="2"/>
  <c r="Q98" i="2" l="1"/>
  <c r="I98" i="2"/>
  <c r="F98" i="2"/>
  <c r="Q97" i="2" l="1"/>
  <c r="I97" i="2"/>
  <c r="F97" i="2"/>
  <c r="Q96" i="2" l="1"/>
  <c r="I96" i="2"/>
  <c r="F96" i="2"/>
  <c r="Q95" i="2" l="1"/>
  <c r="I95" i="2"/>
  <c r="F95" i="2"/>
  <c r="Q94" i="2" l="1"/>
  <c r="I94" i="2"/>
  <c r="Q93" i="2"/>
  <c r="I93" i="2"/>
  <c r="F94" i="2"/>
  <c r="F93" i="2"/>
  <c r="Q92" i="2"/>
  <c r="I92" i="2"/>
  <c r="F92" i="2"/>
  <c r="Q91" i="2" l="1"/>
  <c r="I91" i="2"/>
  <c r="F91" i="2"/>
  <c r="Q90" i="2" l="1"/>
  <c r="I90" i="2"/>
  <c r="F90" i="2"/>
  <c r="Q89" i="2" l="1"/>
  <c r="I89" i="2"/>
  <c r="F89" i="2"/>
  <c r="Q88" i="2" l="1"/>
  <c r="I88" i="2"/>
  <c r="F88" i="2" l="1"/>
  <c r="E24" i="4" l="1" a="1"/>
  <c r="AB24" i="4" s="1"/>
  <c r="AC24" i="4" l="1"/>
  <c r="Q24" i="4"/>
  <c r="F24" i="4"/>
  <c r="F25" i="4" s="1"/>
  <c r="R24" i="4"/>
  <c r="AD24" i="4"/>
  <c r="G24" i="4"/>
  <c r="S24" i="4"/>
  <c r="AE24" i="4"/>
  <c r="H24" i="4"/>
  <c r="T24" i="4"/>
  <c r="AF24" i="4"/>
  <c r="I24" i="4"/>
  <c r="U24" i="4"/>
  <c r="AG24" i="4"/>
  <c r="J24" i="4"/>
  <c r="V24" i="4"/>
  <c r="AH24" i="4"/>
  <c r="K24" i="4"/>
  <c r="W24" i="4"/>
  <c r="L24" i="4"/>
  <c r="X24" i="4"/>
  <c r="M24" i="4"/>
  <c r="Y24" i="4"/>
  <c r="N24" i="4"/>
  <c r="Z24" i="4"/>
  <c r="O24" i="4"/>
  <c r="AA24" i="4"/>
  <c r="E24" i="4"/>
  <c r="P24" i="4"/>
  <c r="Q87" i="2"/>
  <c r="I87" i="2"/>
  <c r="Q86" i="2"/>
  <c r="I86" i="2"/>
  <c r="Q85" i="2"/>
  <c r="I85" i="2"/>
  <c r="F87" i="2"/>
  <c r="D24" i="4" l="1"/>
  <c r="F86" i="2"/>
  <c r="F85" i="2"/>
  <c r="Q84" i="2" l="1"/>
  <c r="I84" i="2"/>
  <c r="F84" i="2"/>
  <c r="Q83" i="2"/>
  <c r="I83" i="2"/>
  <c r="F83" i="2"/>
  <c r="Q82" i="2"/>
  <c r="I82" i="2"/>
  <c r="F82" i="2"/>
  <c r="Q81" i="2" l="1"/>
  <c r="I81" i="2"/>
  <c r="F81" i="2"/>
  <c r="Q80" i="2" l="1"/>
  <c r="I80" i="2"/>
  <c r="F80" i="2"/>
  <c r="Q79" i="2"/>
  <c r="I79" i="2"/>
  <c r="F79" i="2"/>
  <c r="Q78" i="2"/>
  <c r="I78" i="2"/>
  <c r="F78" i="2"/>
  <c r="Q77" i="2" l="1"/>
  <c r="I77" i="2"/>
  <c r="F77" i="2"/>
  <c r="Q76" i="2" l="1"/>
  <c r="I76" i="2"/>
  <c r="F76" i="2"/>
  <c r="Q75" i="2" l="1"/>
  <c r="I75" i="2"/>
  <c r="F75" i="2"/>
  <c r="Q74" i="2" l="1"/>
  <c r="I74" i="2"/>
  <c r="F74" i="2"/>
  <c r="AB35" i="7" l="1"/>
  <c r="AD35" i="7" s="1"/>
  <c r="AB34" i="7"/>
  <c r="AD34" i="7" s="1"/>
  <c r="AB33" i="7"/>
  <c r="AD33" i="7" s="1"/>
  <c r="AB32" i="7"/>
  <c r="AC32" i="7" s="1"/>
  <c r="AB31" i="7"/>
  <c r="AD31" i="7" s="1"/>
  <c r="AB30" i="7"/>
  <c r="AD30" i="7" s="1"/>
  <c r="AB29" i="7"/>
  <c r="AD29" i="7" s="1"/>
  <c r="AB28" i="7"/>
  <c r="AC28" i="7" s="1"/>
  <c r="AB27" i="7"/>
  <c r="AD27" i="7" s="1"/>
  <c r="AB26" i="7"/>
  <c r="AD26" i="7" s="1"/>
  <c r="AB25" i="7"/>
  <c r="AD25" i="7" s="1"/>
  <c r="AB24" i="7"/>
  <c r="AC24" i="7" s="1"/>
  <c r="AB23" i="7"/>
  <c r="AD23" i="7" s="1"/>
  <c r="AB22" i="7"/>
  <c r="AD22" i="7" s="1"/>
  <c r="AB21" i="7"/>
  <c r="AD21" i="7" s="1"/>
  <c r="AB20" i="7"/>
  <c r="AC20" i="7" s="1"/>
  <c r="AB19" i="7"/>
  <c r="AD19" i="7" s="1"/>
  <c r="AB18" i="7"/>
  <c r="AD18" i="7" s="1"/>
  <c r="AB17" i="7"/>
  <c r="AD17" i="7" s="1"/>
  <c r="AB16" i="7"/>
  <c r="AD16" i="7" s="1"/>
  <c r="AB15" i="7"/>
  <c r="AD15" i="7" s="1"/>
  <c r="AB14" i="7"/>
  <c r="AD14" i="7" s="1"/>
  <c r="AB13" i="7"/>
  <c r="AD13" i="7" s="1"/>
  <c r="AB12" i="7"/>
  <c r="AD12" i="7" s="1"/>
  <c r="AB11" i="7"/>
  <c r="AD11" i="7" s="1"/>
  <c r="AB10" i="7"/>
  <c r="AD10" i="7" s="1"/>
  <c r="AB9" i="7"/>
  <c r="AD9" i="7" s="1"/>
  <c r="AB8" i="7"/>
  <c r="AB7" i="7"/>
  <c r="AD7" i="7" s="1"/>
  <c r="AB6" i="7"/>
  <c r="AD6" i="7" s="1"/>
  <c r="AB5" i="7"/>
  <c r="AD5" i="7" s="1"/>
  <c r="AA4" i="7"/>
  <c r="Z4" i="7"/>
  <c r="Y4" i="7"/>
  <c r="X4" i="7"/>
  <c r="W4" i="7"/>
  <c r="R32" i="7"/>
  <c r="T32" i="7" s="1"/>
  <c r="R31" i="7"/>
  <c r="T31" i="7" s="1"/>
  <c r="R30" i="7"/>
  <c r="T30" i="7" s="1"/>
  <c r="R29" i="7"/>
  <c r="S29" i="7" s="1"/>
  <c r="R28" i="7"/>
  <c r="T28" i="7" s="1"/>
  <c r="R27" i="7"/>
  <c r="T27" i="7" s="1"/>
  <c r="R26" i="7"/>
  <c r="T26" i="7" s="1"/>
  <c r="R25" i="7"/>
  <c r="T25" i="7" s="1"/>
  <c r="R24" i="7"/>
  <c r="T24" i="7" s="1"/>
  <c r="R23" i="7"/>
  <c r="T23" i="7" s="1"/>
  <c r="R22" i="7"/>
  <c r="T22" i="7" s="1"/>
  <c r="R21" i="7"/>
  <c r="S21" i="7" s="1"/>
  <c r="R20" i="7"/>
  <c r="T20" i="7" s="1"/>
  <c r="R19" i="7"/>
  <c r="T19" i="7" s="1"/>
  <c r="R18" i="7"/>
  <c r="T18" i="7" s="1"/>
  <c r="R17" i="7"/>
  <c r="S17" i="7" s="1"/>
  <c r="R16" i="7"/>
  <c r="T16" i="7" s="1"/>
  <c r="R15" i="7"/>
  <c r="T15" i="7" s="1"/>
  <c r="R14" i="7"/>
  <c r="T14" i="7" s="1"/>
  <c r="R13" i="7"/>
  <c r="S13" i="7" s="1"/>
  <c r="R12" i="7"/>
  <c r="T12" i="7" s="1"/>
  <c r="R11" i="7"/>
  <c r="T11" i="7" s="1"/>
  <c r="R10" i="7"/>
  <c r="T10" i="7" s="1"/>
  <c r="R9" i="7"/>
  <c r="T9" i="7" s="1"/>
  <c r="R8" i="7"/>
  <c r="T8" i="7" s="1"/>
  <c r="R7" i="7"/>
  <c r="T7" i="7" s="1"/>
  <c r="R6" i="7"/>
  <c r="T6" i="7" s="1"/>
  <c r="R5" i="7"/>
  <c r="Q4" i="7"/>
  <c r="P4" i="7"/>
  <c r="O4" i="7"/>
  <c r="N4" i="7"/>
  <c r="M4" i="7"/>
  <c r="M75" i="3"/>
  <c r="L75" i="3"/>
  <c r="K75" i="3"/>
  <c r="J75" i="3"/>
  <c r="I75" i="3"/>
  <c r="H75" i="3"/>
  <c r="G75" i="3"/>
  <c r="F75" i="3"/>
  <c r="E75" i="3"/>
  <c r="D75" i="3"/>
  <c r="C75" i="3"/>
  <c r="Q73" i="2"/>
  <c r="I73" i="2"/>
  <c r="Q72" i="2"/>
  <c r="I72" i="2"/>
  <c r="F73" i="2"/>
  <c r="F72" i="2"/>
  <c r="Q67" i="2"/>
  <c r="I67" i="2"/>
  <c r="F67" i="2"/>
  <c r="Q66" i="2"/>
  <c r="I66" i="2"/>
  <c r="F66" i="2"/>
  <c r="R4" i="7" l="1"/>
  <c r="S4" i="7" s="1"/>
  <c r="AB4" i="7"/>
  <c r="AD4" i="7" s="1"/>
  <c r="AC12" i="7"/>
  <c r="AD24" i="7"/>
  <c r="AD28" i="7"/>
  <c r="AD32" i="7"/>
  <c r="AC16" i="7"/>
  <c r="AD20" i="7"/>
  <c r="AD8" i="7"/>
  <c r="AC5" i="7"/>
  <c r="AC9" i="7"/>
  <c r="AC13" i="7"/>
  <c r="AC17" i="7"/>
  <c r="AC21" i="7"/>
  <c r="AC25" i="7"/>
  <c r="AC29" i="7"/>
  <c r="AC33" i="7"/>
  <c r="AC6" i="7"/>
  <c r="AC10" i="7"/>
  <c r="AC14" i="7"/>
  <c r="AC18" i="7"/>
  <c r="AC22" i="7"/>
  <c r="AC26" i="7"/>
  <c r="AC30" i="7"/>
  <c r="AC34" i="7"/>
  <c r="AC8" i="7"/>
  <c r="AC7" i="7"/>
  <c r="AC11" i="7"/>
  <c r="AC15" i="7"/>
  <c r="AC19" i="7"/>
  <c r="AC23" i="7"/>
  <c r="AC27" i="7"/>
  <c r="AC31" i="7"/>
  <c r="AC35" i="7"/>
  <c r="T17" i="7"/>
  <c r="S9" i="7"/>
  <c r="T29" i="7"/>
  <c r="S6" i="7"/>
  <c r="S10" i="7"/>
  <c r="S14" i="7"/>
  <c r="S18" i="7"/>
  <c r="S22" i="7"/>
  <c r="S26" i="7"/>
  <c r="S30" i="7"/>
  <c r="T21" i="7"/>
  <c r="S5" i="7"/>
  <c r="T5" i="7"/>
  <c r="T13" i="7"/>
  <c r="S7" i="7"/>
  <c r="S11" i="7"/>
  <c r="S15" i="7"/>
  <c r="S19" i="7"/>
  <c r="S23" i="7"/>
  <c r="S27" i="7"/>
  <c r="S31" i="7"/>
  <c r="S25" i="7"/>
  <c r="S8" i="7"/>
  <c r="S12" i="7"/>
  <c r="S16" i="7"/>
  <c r="S20" i="7"/>
  <c r="S24" i="7"/>
  <c r="S28" i="7"/>
  <c r="S32" i="7"/>
  <c r="Q65" i="2"/>
  <c r="I65" i="2"/>
  <c r="F65" i="2"/>
  <c r="AC4" i="7" l="1"/>
  <c r="T4" i="7"/>
  <c r="Q64" i="2"/>
  <c r="I64" i="2"/>
  <c r="F64" i="2" l="1"/>
  <c r="Q63" i="2" l="1"/>
  <c r="I63" i="2"/>
  <c r="F63" i="2" l="1"/>
  <c r="Q62" i="2" l="1"/>
  <c r="I62" i="2"/>
  <c r="F62" i="2"/>
  <c r="Q61" i="2"/>
  <c r="I61" i="2"/>
  <c r="F61" i="2"/>
  <c r="Q60" i="2"/>
  <c r="I60" i="2"/>
  <c r="F60" i="2"/>
  <c r="Q59" i="2"/>
  <c r="I59" i="2"/>
  <c r="F59" i="2"/>
  <c r="Q58" i="2" l="1"/>
  <c r="I58" i="2"/>
  <c r="F58" i="2"/>
  <c r="Q57" i="2" l="1"/>
  <c r="I57" i="2"/>
  <c r="F57" i="2"/>
  <c r="Q56" i="2" l="1"/>
  <c r="I56" i="2"/>
  <c r="F56" i="2"/>
  <c r="Q55" i="2" l="1"/>
  <c r="Q54" i="2"/>
  <c r="Q53" i="2"/>
  <c r="I55" i="2"/>
  <c r="I54" i="2"/>
  <c r="I53" i="2"/>
  <c r="F55" i="2"/>
  <c r="F54" i="2" l="1"/>
  <c r="F53" i="2"/>
  <c r="G4" i="7" l="1"/>
  <c r="F4" i="7"/>
  <c r="E4" i="7"/>
  <c r="D4" i="7"/>
  <c r="C4" i="7"/>
  <c r="E18" i="4" l="1" a="1"/>
  <c r="F18" i="4" s="1"/>
  <c r="Q52" i="2"/>
  <c r="I52" i="2"/>
  <c r="F52" i="2"/>
  <c r="AC18" i="4" l="1"/>
  <c r="Q18" i="4"/>
  <c r="E18" i="4"/>
  <c r="AB18" i="4"/>
  <c r="P18" i="4"/>
  <c r="AA18" i="4"/>
  <c r="O18" i="4"/>
  <c r="Z18" i="4"/>
  <c r="N18" i="4"/>
  <c r="Y18" i="4"/>
  <c r="M18" i="4"/>
  <c r="X18" i="4"/>
  <c r="L18" i="4"/>
  <c r="AI18" i="4"/>
  <c r="W18" i="4"/>
  <c r="K18" i="4"/>
  <c r="AH18" i="4"/>
  <c r="V18" i="4"/>
  <c r="J18" i="4"/>
  <c r="AG18" i="4"/>
  <c r="U18" i="4"/>
  <c r="I18" i="4"/>
  <c r="AF18" i="4"/>
  <c r="T18" i="4"/>
  <c r="H18" i="4"/>
  <c r="AE18" i="4"/>
  <c r="S18" i="4"/>
  <c r="G18" i="4"/>
  <c r="AD18" i="4"/>
  <c r="R18" i="4"/>
  <c r="Q51" i="2"/>
  <c r="I51" i="2"/>
  <c r="F51" i="2"/>
  <c r="Q50" i="2" l="1"/>
  <c r="I50" i="2"/>
  <c r="F50" i="2"/>
  <c r="M41" i="3" l="1"/>
  <c r="L41" i="3"/>
  <c r="M4" i="3"/>
  <c r="L4" i="3"/>
  <c r="Q49" i="2"/>
  <c r="I49" i="2"/>
  <c r="F49" i="2"/>
  <c r="Q48" i="2" l="1"/>
  <c r="I48" i="2"/>
  <c r="F48" i="2"/>
  <c r="Q47" i="2"/>
  <c r="I47" i="2"/>
  <c r="F47" i="2"/>
  <c r="Q46" i="2"/>
  <c r="I46" i="2"/>
  <c r="F46" i="2"/>
  <c r="Q45" i="2" l="1"/>
  <c r="I45" i="2"/>
  <c r="F45" i="2"/>
  <c r="Q33" i="2" l="1"/>
  <c r="Q30" i="2"/>
  <c r="Q29" i="2"/>
  <c r="Q28" i="2"/>
  <c r="I31" i="2"/>
  <c r="I32" i="2"/>
  <c r="I33" i="2"/>
  <c r="I30" i="2"/>
  <c r="I29" i="2"/>
  <c r="I28" i="2"/>
  <c r="F31" i="2"/>
  <c r="F32" i="2"/>
  <c r="F33" i="2"/>
  <c r="F30" i="2"/>
  <c r="F29" i="2"/>
  <c r="F28" i="2"/>
  <c r="Q44" i="2" l="1"/>
  <c r="I44" i="2"/>
  <c r="F44" i="2"/>
  <c r="Q43" i="2" l="1"/>
  <c r="I43" i="2"/>
  <c r="F43" i="2"/>
  <c r="K41" i="3" l="1"/>
  <c r="J41" i="3"/>
  <c r="I41" i="3"/>
  <c r="H41" i="3"/>
  <c r="G41" i="3"/>
  <c r="F41" i="3"/>
  <c r="E41" i="3"/>
  <c r="D41" i="3"/>
  <c r="C41" i="3"/>
  <c r="Q42" i="2"/>
  <c r="Q41" i="2"/>
  <c r="Q40" i="2"/>
  <c r="Q35" i="2"/>
  <c r="Q34" i="2"/>
  <c r="I35" i="2"/>
  <c r="I34" i="2"/>
  <c r="I42" i="2"/>
  <c r="I41" i="2"/>
  <c r="I40" i="2"/>
  <c r="F42" i="2"/>
  <c r="F41" i="2"/>
  <c r="F40" i="2"/>
  <c r="F35" i="2"/>
  <c r="F34" i="2"/>
  <c r="Q27" i="2" l="1"/>
  <c r="I27" i="2"/>
  <c r="F27" i="2"/>
  <c r="Q26" i="2" l="1"/>
  <c r="I26" i="2"/>
  <c r="F26" i="2"/>
  <c r="Q25" i="2" l="1"/>
  <c r="I25" i="2"/>
  <c r="F25" i="2"/>
  <c r="Q24" i="2" l="1"/>
  <c r="I24" i="2"/>
  <c r="F24" i="2"/>
  <c r="Q23" i="2" l="1"/>
  <c r="Q22" i="2"/>
  <c r="Q21" i="2"/>
  <c r="I21" i="2"/>
  <c r="I22" i="2"/>
  <c r="I23" i="2"/>
  <c r="F23" i="2"/>
  <c r="F22" i="2"/>
  <c r="F21" i="2"/>
  <c r="I18" i="2" l="1"/>
  <c r="I19" i="2"/>
  <c r="I20" i="2"/>
  <c r="Q20" i="2"/>
  <c r="F20" i="2"/>
  <c r="Q19" i="2" l="1"/>
  <c r="F19" i="2"/>
  <c r="Q18" i="2" l="1"/>
  <c r="F18" i="2"/>
  <c r="Q17" i="2" l="1"/>
  <c r="I17" i="2"/>
  <c r="F17" i="2"/>
  <c r="I14" i="2" l="1"/>
  <c r="I15" i="2"/>
  <c r="I16" i="2"/>
  <c r="Q16" i="2" l="1"/>
  <c r="Q15" i="2"/>
  <c r="Q14" i="2"/>
  <c r="F16" i="2"/>
  <c r="F15" i="2"/>
  <c r="F14" i="2"/>
  <c r="Q13" i="2" l="1"/>
  <c r="I13" i="2"/>
  <c r="F13" i="2"/>
  <c r="Q12" i="2" l="1"/>
  <c r="I12" i="2"/>
  <c r="F12" i="2"/>
  <c r="Q11" i="2" l="1"/>
  <c r="I11" i="2"/>
  <c r="F11" i="2"/>
  <c r="Q10" i="2" l="1"/>
  <c r="I10" i="2"/>
  <c r="F10" i="2"/>
  <c r="Q7" i="2" l="1"/>
  <c r="Q8" i="2"/>
  <c r="Q9" i="2"/>
  <c r="I7" i="2"/>
  <c r="I8" i="2"/>
  <c r="I9" i="2"/>
  <c r="F7" i="2"/>
  <c r="F8" i="2"/>
  <c r="F9" i="2"/>
  <c r="H5" i="7" l="1"/>
  <c r="H6" i="7"/>
  <c r="I6" i="7" s="1"/>
  <c r="H7" i="7"/>
  <c r="J7" i="7" s="1"/>
  <c r="H8" i="7"/>
  <c r="I8" i="7" s="1"/>
  <c r="H9" i="7"/>
  <c r="I9" i="7" s="1"/>
  <c r="H10" i="7"/>
  <c r="I10" i="7" s="1"/>
  <c r="H11" i="7"/>
  <c r="J11" i="7" s="1"/>
  <c r="H12" i="7"/>
  <c r="I12" i="7" s="1"/>
  <c r="H13" i="7"/>
  <c r="I13" i="7" s="1"/>
  <c r="H14" i="7"/>
  <c r="I14" i="7" s="1"/>
  <c r="H15" i="7"/>
  <c r="J15" i="7" s="1"/>
  <c r="H16" i="7"/>
  <c r="I16" i="7" s="1"/>
  <c r="H17" i="7"/>
  <c r="I17" i="7" s="1"/>
  <c r="H18" i="7"/>
  <c r="I18" i="7" s="1"/>
  <c r="H19" i="7"/>
  <c r="J19" i="7" s="1"/>
  <c r="H20" i="7"/>
  <c r="I20" i="7" s="1"/>
  <c r="H21" i="7"/>
  <c r="I21" i="7" s="1"/>
  <c r="H22" i="7"/>
  <c r="I22" i="7" s="1"/>
  <c r="H23" i="7"/>
  <c r="J23" i="7" s="1"/>
  <c r="H24" i="7"/>
  <c r="I24" i="7" s="1"/>
  <c r="H25" i="7"/>
  <c r="I25" i="7" s="1"/>
  <c r="H26" i="7"/>
  <c r="I26" i="7" s="1"/>
  <c r="H27" i="7"/>
  <c r="J27" i="7" s="1"/>
  <c r="H28" i="7"/>
  <c r="I28" i="7" s="1"/>
  <c r="H29" i="7"/>
  <c r="I29" i="7" s="1"/>
  <c r="H30" i="7"/>
  <c r="I30" i="7" s="1"/>
  <c r="H31" i="7"/>
  <c r="J31" i="7" s="1"/>
  <c r="H32" i="7"/>
  <c r="I32" i="7" s="1"/>
  <c r="H33" i="7"/>
  <c r="I33" i="7" s="1"/>
  <c r="H34" i="7"/>
  <c r="I34" i="7" s="1"/>
  <c r="H35" i="7"/>
  <c r="J35" i="7" s="1"/>
  <c r="I5" i="7" l="1"/>
  <c r="H4" i="7"/>
  <c r="J30" i="7"/>
  <c r="J29" i="7"/>
  <c r="I31" i="7"/>
  <c r="J34" i="7"/>
  <c r="I27" i="7"/>
  <c r="J25" i="7"/>
  <c r="I23" i="7"/>
  <c r="J22" i="7"/>
  <c r="J21" i="7"/>
  <c r="I19" i="7"/>
  <c r="J18" i="7"/>
  <c r="J17" i="7"/>
  <c r="I15" i="7"/>
  <c r="J14" i="7"/>
  <c r="J13" i="7"/>
  <c r="I11" i="7"/>
  <c r="J10" i="7"/>
  <c r="J9" i="7"/>
  <c r="J5" i="7"/>
  <c r="J33" i="7"/>
  <c r="J26" i="7"/>
  <c r="I7" i="7"/>
  <c r="I35" i="7"/>
  <c r="J6" i="7"/>
  <c r="J32" i="7"/>
  <c r="J28" i="7"/>
  <c r="J24" i="7"/>
  <c r="J20" i="7"/>
  <c r="J16" i="7"/>
  <c r="J12" i="7"/>
  <c r="J8" i="7"/>
  <c r="I4" i="7" l="1"/>
  <c r="J4" i="7"/>
  <c r="D3" i="4"/>
  <c r="D4" i="4"/>
  <c r="E6" i="4" a="1"/>
  <c r="F6" i="4" s="1"/>
  <c r="F7" i="4" s="1"/>
  <c r="D9" i="4"/>
  <c r="D10" i="4"/>
  <c r="E12" i="4" a="1"/>
  <c r="F12" i="4" s="1"/>
  <c r="F13" i="4" s="1"/>
  <c r="D15" i="4"/>
  <c r="D16" i="4"/>
  <c r="D18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E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D27" i="4"/>
  <c r="D28" i="4"/>
  <c r="D30" i="4"/>
  <c r="D33" i="4"/>
  <c r="D34" i="4"/>
  <c r="D36" i="4"/>
  <c r="D39" i="4"/>
  <c r="D40" i="4"/>
  <c r="D42" i="4"/>
  <c r="D45" i="4"/>
  <c r="D46" i="4"/>
  <c r="D48" i="4"/>
  <c r="D51" i="4"/>
  <c r="D52" i="4"/>
  <c r="D54" i="4"/>
  <c r="D57" i="4"/>
  <c r="D58" i="4"/>
  <c r="D60" i="4"/>
  <c r="D63" i="4"/>
  <c r="D64" i="4"/>
  <c r="D66" i="4"/>
  <c r="D69" i="4"/>
  <c r="D70" i="4"/>
  <c r="D72" i="4"/>
  <c r="C4" i="3"/>
  <c r="D4" i="3"/>
  <c r="E4" i="3"/>
  <c r="F4" i="3"/>
  <c r="G4" i="3"/>
  <c r="H4" i="3"/>
  <c r="I4" i="3"/>
  <c r="J4" i="3"/>
  <c r="K4" i="3"/>
  <c r="C4" i="2"/>
  <c r="C5" i="5" s="1"/>
  <c r="D4" i="2"/>
  <c r="D5" i="5" s="1"/>
  <c r="E4" i="2"/>
  <c r="E5" i="5" s="1"/>
  <c r="G4" i="2"/>
  <c r="G5" i="5" s="1"/>
  <c r="H4" i="2"/>
  <c r="H5" i="5" s="1"/>
  <c r="J4" i="2"/>
  <c r="J5" i="5" s="1"/>
  <c r="K4" i="2"/>
  <c r="K5" i="5" s="1"/>
  <c r="L4" i="2"/>
  <c r="L5" i="5" s="1"/>
  <c r="M4" i="2"/>
  <c r="M5" i="5" s="1"/>
  <c r="N4" i="2"/>
  <c r="O4" i="2"/>
  <c r="O5" i="5" s="1"/>
  <c r="P4" i="2"/>
  <c r="P5" i="5" s="1"/>
  <c r="R4" i="2"/>
  <c r="R5" i="5" s="1"/>
  <c r="S4" i="2"/>
  <c r="S5" i="5" s="1"/>
  <c r="T4" i="2"/>
  <c r="T5" i="5" s="1"/>
  <c r="U4" i="2"/>
  <c r="U5" i="5" s="1"/>
  <c r="V4" i="2"/>
  <c r="V5" i="5" s="1"/>
  <c r="W4" i="2"/>
  <c r="W5" i="5" s="1"/>
  <c r="X4" i="2"/>
  <c r="X5" i="5" s="1"/>
  <c r="Y4" i="2"/>
  <c r="Y5" i="5" s="1"/>
  <c r="Z4" i="2"/>
  <c r="Z5" i="5" s="1"/>
  <c r="F5" i="2"/>
  <c r="I5" i="2"/>
  <c r="Q5" i="2"/>
  <c r="F6" i="2"/>
  <c r="I6" i="2"/>
  <c r="Q6" i="2"/>
  <c r="C39" i="2"/>
  <c r="C6" i="5" s="1"/>
  <c r="D39" i="2"/>
  <c r="D6" i="5" s="1"/>
  <c r="E39" i="2"/>
  <c r="E6" i="5" s="1"/>
  <c r="F39" i="2"/>
  <c r="F6" i="5" s="1"/>
  <c r="G39" i="2"/>
  <c r="G6" i="5" s="1"/>
  <c r="H39" i="2"/>
  <c r="H6" i="5" s="1"/>
  <c r="I39" i="2"/>
  <c r="I6" i="5" s="1"/>
  <c r="J39" i="2"/>
  <c r="J6" i="5" s="1"/>
  <c r="K39" i="2"/>
  <c r="K6" i="5" s="1"/>
  <c r="L39" i="2"/>
  <c r="L6" i="5" s="1"/>
  <c r="M39" i="2"/>
  <c r="M6" i="5" s="1"/>
  <c r="N39" i="2"/>
  <c r="N6" i="5" s="1"/>
  <c r="O39" i="2"/>
  <c r="P39" i="2"/>
  <c r="P6" i="5" s="1"/>
  <c r="R39" i="2"/>
  <c r="R6" i="5" s="1"/>
  <c r="S39" i="2"/>
  <c r="S6" i="5" s="1"/>
  <c r="T39" i="2"/>
  <c r="T6" i="5" s="1"/>
  <c r="U39" i="2"/>
  <c r="U6" i="5" s="1"/>
  <c r="V39" i="2"/>
  <c r="V6" i="5" s="1"/>
  <c r="W39" i="2"/>
  <c r="W6" i="5" s="1"/>
  <c r="X39" i="2"/>
  <c r="X6" i="5" s="1"/>
  <c r="Y39" i="2"/>
  <c r="Y6" i="5" s="1"/>
  <c r="Z39" i="2"/>
  <c r="Z6" i="5" s="1"/>
  <c r="C71" i="2"/>
  <c r="C7" i="5" s="1"/>
  <c r="D71" i="2"/>
  <c r="D7" i="5" s="1"/>
  <c r="E71" i="2"/>
  <c r="E7" i="5" s="1"/>
  <c r="F71" i="2"/>
  <c r="F7" i="5" s="1"/>
  <c r="G71" i="2"/>
  <c r="G7" i="5" s="1"/>
  <c r="H71" i="2"/>
  <c r="H7" i="5" s="1"/>
  <c r="I71" i="2"/>
  <c r="I7" i="5" s="1"/>
  <c r="J71" i="2"/>
  <c r="J7" i="5" s="1"/>
  <c r="K71" i="2"/>
  <c r="K7" i="5" s="1"/>
  <c r="L71" i="2"/>
  <c r="L7" i="5" s="1"/>
  <c r="M71" i="2"/>
  <c r="M7" i="5" s="1"/>
  <c r="N71" i="2"/>
  <c r="N7" i="5" s="1"/>
  <c r="O71" i="2"/>
  <c r="O7" i="5" s="1"/>
  <c r="P71" i="2"/>
  <c r="P7" i="5" s="1"/>
  <c r="R71" i="2"/>
  <c r="R7" i="5" s="1"/>
  <c r="S71" i="2"/>
  <c r="S7" i="5" s="1"/>
  <c r="T71" i="2"/>
  <c r="T7" i="5" s="1"/>
  <c r="U71" i="2"/>
  <c r="U7" i="5" s="1"/>
  <c r="V71" i="2"/>
  <c r="V7" i="5" s="1"/>
  <c r="W71" i="2"/>
  <c r="W7" i="5" s="1"/>
  <c r="X71" i="2"/>
  <c r="X7" i="5" s="1"/>
  <c r="Y71" i="2"/>
  <c r="Y7" i="5" s="1"/>
  <c r="Z71" i="2"/>
  <c r="Z7" i="5" s="1"/>
  <c r="C8" i="5"/>
  <c r="D106" i="2"/>
  <c r="D8" i="5" s="1"/>
  <c r="E106" i="2"/>
  <c r="E8" i="5" s="1"/>
  <c r="F106" i="2"/>
  <c r="F8" i="5" s="1"/>
  <c r="G106" i="2"/>
  <c r="G8" i="5" s="1"/>
  <c r="H106" i="2"/>
  <c r="H8" i="5" s="1"/>
  <c r="I106" i="2"/>
  <c r="I8" i="5" s="1"/>
  <c r="J106" i="2"/>
  <c r="J8" i="5" s="1"/>
  <c r="K106" i="2"/>
  <c r="K8" i="5" s="1"/>
  <c r="L106" i="2"/>
  <c r="L8" i="5" s="1"/>
  <c r="M106" i="2"/>
  <c r="M8" i="5" s="1"/>
  <c r="N106" i="2"/>
  <c r="N8" i="5" s="1"/>
  <c r="O106" i="2"/>
  <c r="O8" i="5" s="1"/>
  <c r="P106" i="2"/>
  <c r="P8" i="5" s="1"/>
  <c r="R106" i="2"/>
  <c r="R8" i="5" s="1"/>
  <c r="S106" i="2"/>
  <c r="S8" i="5" s="1"/>
  <c r="T106" i="2"/>
  <c r="T8" i="5" s="1"/>
  <c r="U8" i="5"/>
  <c r="V106" i="2"/>
  <c r="V8" i="5" s="1"/>
  <c r="W106" i="2"/>
  <c r="W8" i="5" s="1"/>
  <c r="X106" i="2"/>
  <c r="X8" i="5" s="1"/>
  <c r="Y106" i="2"/>
  <c r="Y8" i="5" s="1"/>
  <c r="Z106" i="2"/>
  <c r="Z8" i="5" s="1"/>
  <c r="C140" i="2"/>
  <c r="C9" i="5" s="1"/>
  <c r="D140" i="2"/>
  <c r="D9" i="5" s="1"/>
  <c r="E140" i="2"/>
  <c r="E9" i="5" s="1"/>
  <c r="F9" i="5"/>
  <c r="G140" i="2"/>
  <c r="G9" i="5" s="1"/>
  <c r="H140" i="2"/>
  <c r="H9" i="5" s="1"/>
  <c r="I140" i="2"/>
  <c r="I9" i="5" s="1"/>
  <c r="J140" i="2"/>
  <c r="J9" i="5" s="1"/>
  <c r="K140" i="2"/>
  <c r="K9" i="5" s="1"/>
  <c r="L140" i="2"/>
  <c r="L9" i="5" s="1"/>
  <c r="M140" i="2"/>
  <c r="M9" i="5" s="1"/>
  <c r="N140" i="2"/>
  <c r="N9" i="5" s="1"/>
  <c r="O140" i="2"/>
  <c r="O9" i="5" s="1"/>
  <c r="P140" i="2"/>
  <c r="P9" i="5" s="1"/>
  <c r="R140" i="2"/>
  <c r="R9" i="5" s="1"/>
  <c r="S140" i="2"/>
  <c r="S9" i="5" s="1"/>
  <c r="T140" i="2"/>
  <c r="T9" i="5" s="1"/>
  <c r="U140" i="2"/>
  <c r="U9" i="5" s="1"/>
  <c r="V140" i="2"/>
  <c r="V9" i="5" s="1"/>
  <c r="W140" i="2"/>
  <c r="W9" i="5" s="1"/>
  <c r="X140" i="2"/>
  <c r="X9" i="5" s="1"/>
  <c r="Y140" i="2"/>
  <c r="Y9" i="5" s="1"/>
  <c r="Z140" i="2"/>
  <c r="Z9" i="5" s="1"/>
  <c r="C175" i="2"/>
  <c r="C10" i="5" s="1"/>
  <c r="D175" i="2"/>
  <c r="D10" i="5" s="1"/>
  <c r="E175" i="2"/>
  <c r="E10" i="5" s="1"/>
  <c r="F175" i="2"/>
  <c r="F10" i="5" s="1"/>
  <c r="G175" i="2"/>
  <c r="G10" i="5" s="1"/>
  <c r="H175" i="2"/>
  <c r="H10" i="5" s="1"/>
  <c r="I175" i="2"/>
  <c r="I10" i="5" s="1"/>
  <c r="J175" i="2"/>
  <c r="J10" i="5" s="1"/>
  <c r="K175" i="2"/>
  <c r="K10" i="5" s="1"/>
  <c r="L175" i="2"/>
  <c r="L10" i="5" s="1"/>
  <c r="M175" i="2"/>
  <c r="M10" i="5" s="1"/>
  <c r="N175" i="2"/>
  <c r="N10" i="5" s="1"/>
  <c r="O175" i="2"/>
  <c r="O10" i="5" s="1"/>
  <c r="P175" i="2"/>
  <c r="P10" i="5" s="1"/>
  <c r="R175" i="2"/>
  <c r="R10" i="5" s="1"/>
  <c r="S175" i="2"/>
  <c r="S10" i="5" s="1"/>
  <c r="T175" i="2"/>
  <c r="T10" i="5" s="1"/>
  <c r="U175" i="2"/>
  <c r="U10" i="5" s="1"/>
  <c r="V175" i="2"/>
  <c r="V10" i="5" s="1"/>
  <c r="W175" i="2"/>
  <c r="W10" i="5" s="1"/>
  <c r="X175" i="2"/>
  <c r="X10" i="5" s="1"/>
  <c r="Y175" i="2"/>
  <c r="Y10" i="5" s="1"/>
  <c r="Z175" i="2"/>
  <c r="Z10" i="5" s="1"/>
  <c r="Q4" i="2" l="1"/>
  <c r="Q5" i="5" s="1"/>
  <c r="B55" i="4"/>
  <c r="B31" i="4"/>
  <c r="O6" i="5"/>
  <c r="Q39" i="2"/>
  <c r="Q6" i="5" s="1"/>
  <c r="Q175" i="2"/>
  <c r="Q10" i="5" s="1"/>
  <c r="B43" i="4"/>
  <c r="Q71" i="2"/>
  <c r="Q7" i="5" s="1"/>
  <c r="E4" i="5"/>
  <c r="Q140" i="2"/>
  <c r="Q9" i="5" s="1"/>
  <c r="H4" i="5"/>
  <c r="G4" i="5"/>
  <c r="W4" i="5"/>
  <c r="Z4" i="5"/>
  <c r="Y4" i="5"/>
  <c r="X4" i="5"/>
  <c r="V4" i="5"/>
  <c r="U4" i="5"/>
  <c r="T4" i="5"/>
  <c r="S4" i="5"/>
  <c r="R4" i="5"/>
  <c r="P4" i="5"/>
  <c r="O4" i="5"/>
  <c r="M4" i="5"/>
  <c r="L4" i="5"/>
  <c r="K4" i="5"/>
  <c r="J4" i="5"/>
  <c r="D4" i="5"/>
  <c r="C4" i="5"/>
  <c r="Q106" i="2"/>
  <c r="Q8" i="5" s="1"/>
  <c r="I4" i="2"/>
  <c r="I5" i="5" s="1"/>
  <c r="I4" i="5" s="1"/>
  <c r="F4" i="2"/>
  <c r="F5" i="5" s="1"/>
  <c r="F4" i="5" s="1"/>
  <c r="N5" i="5"/>
  <c r="N4" i="5" s="1"/>
  <c r="B25" i="4"/>
  <c r="B49" i="4"/>
  <c r="B67" i="4"/>
  <c r="B61" i="4"/>
  <c r="P12" i="4"/>
  <c r="P13" i="4" s="1"/>
  <c r="B73" i="4"/>
  <c r="J12" i="4"/>
  <c r="J13" i="4" s="1"/>
  <c r="B19" i="4"/>
  <c r="E12" i="4"/>
  <c r="E13" i="4" s="1"/>
  <c r="AC12" i="4"/>
  <c r="AC13" i="4" s="1"/>
  <c r="B37" i="4"/>
  <c r="AB12" i="4"/>
  <c r="AB13" i="4" s="1"/>
  <c r="V12" i="4"/>
  <c r="V13" i="4" s="1"/>
  <c r="Q12" i="4"/>
  <c r="Q13" i="4" s="1"/>
  <c r="E6" i="4"/>
  <c r="E7" i="4" s="1"/>
  <c r="AC6" i="4"/>
  <c r="AC7" i="4" s="1"/>
  <c r="AB6" i="4"/>
  <c r="AB7" i="4" s="1"/>
  <c r="Q6" i="4"/>
  <c r="Q7" i="4" s="1"/>
  <c r="P6" i="4"/>
  <c r="P7" i="4" s="1"/>
  <c r="AA12" i="4"/>
  <c r="AA13" i="4" s="1"/>
  <c r="O12" i="4"/>
  <c r="O13" i="4" s="1"/>
  <c r="AA6" i="4"/>
  <c r="AA7" i="4" s="1"/>
  <c r="O6" i="4"/>
  <c r="O7" i="4" s="1"/>
  <c r="Z12" i="4"/>
  <c r="Z13" i="4" s="1"/>
  <c r="N6" i="4"/>
  <c r="N7" i="4" s="1"/>
  <c r="Y12" i="4"/>
  <c r="Y13" i="4" s="1"/>
  <c r="M12" i="4"/>
  <c r="M13" i="4" s="1"/>
  <c r="Y6" i="4"/>
  <c r="Y7" i="4" s="1"/>
  <c r="M6" i="4"/>
  <c r="M7" i="4" s="1"/>
  <c r="N12" i="4"/>
  <c r="N13" i="4" s="1"/>
  <c r="Z6" i="4"/>
  <c r="Z7" i="4" s="1"/>
  <c r="X12" i="4"/>
  <c r="X13" i="4" s="1"/>
  <c r="L12" i="4"/>
  <c r="L13" i="4" s="1"/>
  <c r="X6" i="4"/>
  <c r="X7" i="4" s="1"/>
  <c r="L6" i="4"/>
  <c r="L7" i="4" s="1"/>
  <c r="W12" i="4"/>
  <c r="W13" i="4" s="1"/>
  <c r="K12" i="4"/>
  <c r="K13" i="4" s="1"/>
  <c r="AI6" i="4"/>
  <c r="AI7" i="4" s="1"/>
  <c r="W6" i="4"/>
  <c r="W7" i="4" s="1"/>
  <c r="K6" i="4"/>
  <c r="K7" i="4" s="1"/>
  <c r="AH6" i="4"/>
  <c r="AH7" i="4" s="1"/>
  <c r="V6" i="4"/>
  <c r="V7" i="4" s="1"/>
  <c r="J6" i="4"/>
  <c r="J7" i="4" s="1"/>
  <c r="U12" i="4"/>
  <c r="U13" i="4" s="1"/>
  <c r="I12" i="4"/>
  <c r="I13" i="4" s="1"/>
  <c r="AG6" i="4"/>
  <c r="AG7" i="4" s="1"/>
  <c r="U6" i="4"/>
  <c r="U7" i="4" s="1"/>
  <c r="I6" i="4"/>
  <c r="I7" i="4" s="1"/>
  <c r="AF12" i="4"/>
  <c r="AF13" i="4" s="1"/>
  <c r="T12" i="4"/>
  <c r="T13" i="4" s="1"/>
  <c r="H12" i="4"/>
  <c r="H13" i="4" s="1"/>
  <c r="AF6" i="4"/>
  <c r="AF7" i="4" s="1"/>
  <c r="T6" i="4"/>
  <c r="T7" i="4" s="1"/>
  <c r="H6" i="4"/>
  <c r="H7" i="4" s="1"/>
  <c r="AE12" i="4"/>
  <c r="AE13" i="4" s="1"/>
  <c r="S12" i="4"/>
  <c r="S13" i="4" s="1"/>
  <c r="G12" i="4"/>
  <c r="G13" i="4" s="1"/>
  <c r="AE6" i="4"/>
  <c r="AE7" i="4" s="1"/>
  <c r="S6" i="4"/>
  <c r="S7" i="4" s="1"/>
  <c r="G6" i="4"/>
  <c r="G7" i="4" s="1"/>
  <c r="AD12" i="4"/>
  <c r="AD13" i="4" s="1"/>
  <c r="R12" i="4"/>
  <c r="R13" i="4" s="1"/>
  <c r="AD6" i="4"/>
  <c r="AD7" i="4" s="1"/>
  <c r="R6" i="4"/>
  <c r="R7" i="4" s="1"/>
  <c r="Q4" i="5" l="1"/>
  <c r="D6" i="4"/>
  <c r="B7" i="4" s="1"/>
  <c r="D12" i="4"/>
  <c r="B13" i="4" s="1"/>
  <c r="B5" i="4"/>
  <c r="B11" i="4" l="1"/>
  <c r="B17" i="4" l="1"/>
  <c r="B23" i="4" l="1"/>
  <c r="B29" i="4" l="1"/>
  <c r="B35" i="4" l="1"/>
  <c r="B41" i="4" l="1"/>
  <c r="B47" i="4" l="1"/>
  <c r="B53" i="4" l="1" a="1"/>
  <c r="B53" i="4" s="1"/>
  <c r="B65" i="4" l="1"/>
  <c r="B59" i="4"/>
  <c r="B7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技佳</author>
  </authors>
  <commentList>
    <comment ref="Q33" authorId="0" shapeId="0" xr:uid="{EF12FA90-BF40-4E59-950C-5242B7E11F87}">
      <text>
        <r>
          <rPr>
            <b/>
            <sz val="12"/>
            <color indexed="81"/>
            <rFont val="Tahoma"/>
            <family val="2"/>
          </rPr>
          <t>4</t>
        </r>
        <r>
          <rPr>
            <b/>
            <sz val="12"/>
            <color indexed="81"/>
            <rFont val="細明體"/>
            <family val="3"/>
            <charset val="136"/>
          </rPr>
          <t>包打料袋</t>
        </r>
      </text>
    </comment>
    <comment ref="X45" authorId="0" shapeId="0" xr:uid="{635079C1-43EE-4E59-A041-21BC2980B723}">
      <text>
        <r>
          <rPr>
            <b/>
            <sz val="14"/>
            <color indexed="81"/>
            <rFont val="細明體"/>
            <family val="3"/>
            <charset val="136"/>
          </rPr>
          <t>含打料袋*1</t>
        </r>
      </text>
    </comment>
    <comment ref="AC45" authorId="0" shapeId="0" xr:uid="{F6A5BA26-5E79-47EF-BABE-85C5FA71E447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>含打料袋*1</t>
        </r>
      </text>
    </comment>
    <comment ref="AE45" authorId="0" shapeId="0" xr:uid="{749E94DD-F0B3-4810-9872-891AB035E363}">
      <text>
        <r>
          <rPr>
            <b/>
            <sz val="12"/>
            <color indexed="81"/>
            <rFont val="細明體"/>
            <family val="3"/>
            <charset val="136"/>
          </rPr>
          <t>含打料袋*8</t>
        </r>
      </text>
    </comment>
    <comment ref="N57" authorId="0" shapeId="0" xr:uid="{C614DC6F-C59A-4700-8006-43403C74932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含打料袋*2</t>
        </r>
      </text>
    </comment>
    <comment ref="X57" authorId="0" shapeId="0" xr:uid="{CD3721C7-7BF9-4E77-8BCF-E756B10EDC37}">
      <text>
        <r>
          <rPr>
            <b/>
            <sz val="14"/>
            <color indexed="81"/>
            <rFont val="細明體"/>
            <family val="3"/>
            <charset val="136"/>
          </rPr>
          <t>含打料袋*3</t>
        </r>
      </text>
    </comment>
    <comment ref="AE57" authorId="0" shapeId="0" xr:uid="{2D87B50B-8975-48B9-8BCA-F5F4CC7DF7D2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>含打料袋</t>
        </r>
        <r>
          <rPr>
            <b/>
            <sz val="14"/>
            <color indexed="81"/>
            <rFont val="新細明體"/>
            <family val="2"/>
            <scheme val="major"/>
          </rPr>
          <t>*3</t>
        </r>
      </text>
    </comment>
    <comment ref="AG57" authorId="0" shapeId="0" xr:uid="{A967AAE0-397C-42DF-B698-D67C09C8C36C}">
      <text>
        <r>
          <rPr>
            <b/>
            <sz val="14"/>
            <color indexed="81"/>
            <rFont val="細明體"/>
            <family val="3"/>
            <charset val="136"/>
          </rPr>
          <t>含打料袋*1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技佳</author>
  </authors>
  <commentList>
    <comment ref="BA17" authorId="0" shapeId="0" xr:uid="{AAAFFF72-839C-4AEA-88FB-10ACB2FC9BE8}">
      <text>
        <r>
          <rPr>
            <b/>
            <sz val="12"/>
            <color indexed="81"/>
            <rFont val="細明體"/>
            <family val="3"/>
            <charset val="136"/>
          </rPr>
          <t>打料袋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<sst xmlns="http://schemas.openxmlformats.org/spreadsheetml/2006/main" count="1598" uniqueCount="185">
  <si>
    <t>30.</t>
    <phoneticPr fontId="1" type="noConversion"/>
  </si>
  <si>
    <t>29.</t>
  </si>
  <si>
    <t>28.</t>
  </si>
  <si>
    <t>27.</t>
  </si>
  <si>
    <t>26.</t>
  </si>
  <si>
    <t>25.</t>
  </si>
  <si>
    <t>24.</t>
  </si>
  <si>
    <t>23.</t>
  </si>
  <si>
    <t>22.</t>
  </si>
  <si>
    <t>21.</t>
  </si>
  <si>
    <t>20.</t>
  </si>
  <si>
    <t>19.</t>
  </si>
  <si>
    <t>18.</t>
  </si>
  <si>
    <t>17.</t>
  </si>
  <si>
    <t>16.</t>
  </si>
  <si>
    <t>15.</t>
  </si>
  <si>
    <t>14.</t>
  </si>
  <si>
    <t>13.</t>
  </si>
  <si>
    <t>12.</t>
  </si>
  <si>
    <t>11.</t>
  </si>
  <si>
    <t>10.</t>
  </si>
  <si>
    <t>9.</t>
  </si>
  <si>
    <t>8.</t>
  </si>
  <si>
    <t>7.</t>
  </si>
  <si>
    <t>6.</t>
  </si>
  <si>
    <t>5.</t>
    <phoneticPr fontId="1" type="noConversion"/>
  </si>
  <si>
    <t>4.</t>
    <phoneticPr fontId="1" type="noConversion"/>
  </si>
  <si>
    <t>3.</t>
    <phoneticPr fontId="1" type="noConversion"/>
  </si>
  <si>
    <t>2.</t>
    <phoneticPr fontId="1" type="noConversion"/>
  </si>
  <si>
    <t>1.</t>
    <phoneticPr fontId="1" type="noConversion"/>
  </si>
  <si>
    <t>6月</t>
    <phoneticPr fontId="1" type="noConversion"/>
  </si>
  <si>
    <r>
      <rPr>
        <sz val="14"/>
        <color theme="1"/>
        <rFont val="標楷體"/>
        <family val="4"/>
        <charset val="136"/>
      </rPr>
      <t>飛灰</t>
    </r>
  </si>
  <si>
    <r>
      <rPr>
        <sz val="14"/>
        <color theme="1"/>
        <rFont val="標楷體"/>
        <family val="4"/>
        <charset val="136"/>
      </rPr>
      <t>底渣</t>
    </r>
  </si>
  <si>
    <r>
      <rPr>
        <sz val="14"/>
        <color theme="1"/>
        <rFont val="標楷體"/>
        <family val="4"/>
        <charset val="136"/>
      </rPr>
      <t>電表</t>
    </r>
  </si>
  <si>
    <r>
      <rPr>
        <sz val="14"/>
        <color theme="1"/>
        <rFont val="標楷體"/>
        <family val="4"/>
        <charset val="136"/>
      </rPr>
      <t>自來水用表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公噸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</si>
  <si>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標楷體"/>
        <family val="4"/>
        <charset val="136"/>
      </rPr>
      <t>純水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公噸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</si>
  <si>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標楷體"/>
        <family val="4"/>
        <charset val="136"/>
      </rPr>
      <t>柴油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公升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</si>
  <si>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標楷體"/>
        <family val="4"/>
        <charset val="136"/>
      </rPr>
      <t>尿素</t>
    </r>
  </si>
  <si>
    <t>售電率</t>
    <phoneticPr fontId="1" type="noConversion"/>
  </si>
  <si>
    <r>
      <rPr>
        <sz val="14"/>
        <color theme="1"/>
        <rFont val="標楷體"/>
        <family val="4"/>
        <charset val="136"/>
      </rPr>
      <t>廠內用電</t>
    </r>
    <phoneticPr fontId="1" type="noConversion"/>
  </si>
  <si>
    <r>
      <rPr>
        <sz val="14"/>
        <color theme="1"/>
        <rFont val="標楷體"/>
        <family val="4"/>
        <charset val="136"/>
      </rPr>
      <t>售電量</t>
    </r>
    <phoneticPr fontId="1" type="noConversion"/>
  </si>
  <si>
    <r>
      <rPr>
        <sz val="14"/>
        <color theme="1"/>
        <rFont val="標楷體"/>
        <family val="4"/>
        <charset val="136"/>
      </rPr>
      <t>發電量</t>
    </r>
    <phoneticPr fontId="1" type="noConversion"/>
  </si>
  <si>
    <r>
      <rPr>
        <sz val="14"/>
        <color theme="1"/>
        <rFont val="標楷體"/>
        <family val="4"/>
        <charset val="136"/>
      </rPr>
      <t>二號爐</t>
    </r>
  </si>
  <si>
    <r>
      <rPr>
        <sz val="14"/>
        <color theme="1"/>
        <rFont val="標楷體"/>
        <family val="4"/>
        <charset val="136"/>
      </rPr>
      <t>一號爐</t>
    </r>
  </si>
  <si>
    <r>
      <rPr>
        <sz val="14"/>
        <color theme="1"/>
        <rFont val="標楷體"/>
        <family val="4"/>
        <charset val="136"/>
      </rPr>
      <t>合計</t>
    </r>
    <phoneticPr fontId="1" type="noConversion"/>
  </si>
  <si>
    <r>
      <rPr>
        <sz val="14"/>
        <color theme="1"/>
        <rFont val="標楷體"/>
        <family val="4"/>
        <charset val="136"/>
      </rPr>
      <t>本月進廠量</t>
    </r>
  </si>
  <si>
    <r>
      <rPr>
        <sz val="14"/>
        <color theme="1"/>
        <rFont val="標楷體"/>
        <family val="4"/>
        <charset val="136"/>
      </rPr>
      <t>事廢</t>
    </r>
  </si>
  <si>
    <r>
      <rPr>
        <sz val="14"/>
        <color theme="1"/>
        <rFont val="標楷體"/>
        <family val="4"/>
        <charset val="136"/>
      </rPr>
      <t>轉運</t>
    </r>
  </si>
  <si>
    <r>
      <rPr>
        <sz val="14"/>
        <color theme="1"/>
        <rFont val="標楷體"/>
        <family val="4"/>
        <charset val="136"/>
      </rPr>
      <t>公所</t>
    </r>
  </si>
  <si>
    <t>本月備註說明
(異常、起停爐)</t>
    <phoneticPr fontId="1" type="noConversion"/>
  </si>
  <si>
    <r>
      <rPr>
        <b/>
        <sz val="14"/>
        <color theme="1"/>
        <rFont val="標楷體"/>
        <family val="4"/>
        <charset val="136"/>
      </rPr>
      <t>廢棄物運出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公噸</t>
    </r>
    <r>
      <rPr>
        <b/>
        <sz val="14"/>
        <color theme="1"/>
        <rFont val="Times New Roman"/>
        <family val="1"/>
      </rPr>
      <t>)</t>
    </r>
  </si>
  <si>
    <r>
      <rPr>
        <b/>
        <sz val="14"/>
        <color theme="1"/>
        <rFont val="標楷體"/>
        <family val="4"/>
        <charset val="136"/>
      </rPr>
      <t>日常使用量</t>
    </r>
  </si>
  <si>
    <r>
      <rPr>
        <b/>
        <sz val="14"/>
        <color theme="1"/>
        <rFont val="標楷體"/>
        <family val="4"/>
        <charset val="136"/>
      </rPr>
      <t>化學藥品使用量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公斤</t>
    </r>
    <r>
      <rPr>
        <b/>
        <sz val="14"/>
        <color theme="1"/>
        <rFont val="Times New Roman"/>
        <family val="1"/>
      </rPr>
      <t>)</t>
    </r>
  </si>
  <si>
    <r>
      <rPr>
        <b/>
        <sz val="14"/>
        <color theme="1"/>
        <rFont val="標楷體"/>
        <family val="4"/>
        <charset val="136"/>
      </rPr>
      <t>電力</t>
    </r>
    <r>
      <rPr>
        <b/>
        <sz val="14"/>
        <color theme="1"/>
        <rFont val="Times New Roman"/>
        <family val="1"/>
      </rPr>
      <t>(MWh)</t>
    </r>
    <phoneticPr fontId="1" type="noConversion"/>
  </si>
  <si>
    <r>
      <rPr>
        <b/>
        <sz val="14"/>
        <color theme="1"/>
        <rFont val="標楷體"/>
        <family val="4"/>
        <charset val="136"/>
      </rPr>
      <t>蒸汽量</t>
    </r>
    <r>
      <rPr>
        <b/>
        <sz val="14"/>
        <color theme="1"/>
        <rFont val="Times New Roman"/>
        <family val="1"/>
      </rPr>
      <t>(T/H)</t>
    </r>
    <phoneticPr fontId="1" type="noConversion"/>
  </si>
  <si>
    <r>
      <rPr>
        <b/>
        <sz val="14"/>
        <color theme="1"/>
        <rFont val="標楷體"/>
        <family val="4"/>
        <charset val="136"/>
      </rPr>
      <t>熱值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仟卡</t>
    </r>
    <r>
      <rPr>
        <b/>
        <sz val="14"/>
        <color theme="1"/>
        <rFont val="Times New Roman"/>
        <family val="1"/>
      </rPr>
      <t>)</t>
    </r>
  </si>
  <si>
    <r>
      <rPr>
        <b/>
        <sz val="14"/>
        <color theme="1"/>
        <rFont val="標楷體"/>
        <family val="4"/>
        <charset val="136"/>
      </rPr>
      <t>燃燒量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公噸</t>
    </r>
    <r>
      <rPr>
        <b/>
        <sz val="14"/>
        <color theme="1"/>
        <rFont val="Times New Roman"/>
        <family val="1"/>
      </rPr>
      <t>)</t>
    </r>
  </si>
  <si>
    <r>
      <rPr>
        <b/>
        <sz val="14"/>
        <color theme="1"/>
        <rFont val="標楷體"/>
        <family val="4"/>
        <charset val="136"/>
      </rPr>
      <t xml:space="preserve">垃圾進廠量
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公噸</t>
    </r>
    <r>
      <rPr>
        <b/>
        <sz val="14"/>
        <color theme="1"/>
        <rFont val="Times New Roman"/>
        <family val="1"/>
      </rPr>
      <t>)</t>
    </r>
  </si>
  <si>
    <t>31.</t>
    <phoneticPr fontId="1" type="noConversion"/>
  </si>
  <si>
    <t>30.</t>
  </si>
  <si>
    <t>5月</t>
    <phoneticPr fontId="1" type="noConversion"/>
  </si>
  <si>
    <r>
      <rPr>
        <b/>
        <sz val="16"/>
        <color theme="1"/>
        <rFont val="標楷體"/>
        <family val="4"/>
        <charset val="136"/>
      </rPr>
      <t>廢棄物運出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標楷體"/>
        <family val="4"/>
        <charset val="136"/>
      </rPr>
      <t>公噸</t>
    </r>
    <r>
      <rPr>
        <b/>
        <sz val="16"/>
        <color theme="1"/>
        <rFont val="Times New Roman"/>
        <family val="1"/>
      </rPr>
      <t>)</t>
    </r>
  </si>
  <si>
    <r>
      <rPr>
        <b/>
        <sz val="16"/>
        <color theme="1"/>
        <rFont val="標楷體"/>
        <family val="4"/>
        <charset val="136"/>
      </rPr>
      <t>日常使用量</t>
    </r>
  </si>
  <si>
    <r>
      <rPr>
        <b/>
        <sz val="16"/>
        <color theme="1"/>
        <rFont val="標楷體"/>
        <family val="4"/>
        <charset val="136"/>
      </rPr>
      <t>化學藥品使用量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標楷體"/>
        <family val="4"/>
        <charset val="136"/>
      </rPr>
      <t>公斤</t>
    </r>
    <r>
      <rPr>
        <b/>
        <sz val="16"/>
        <color theme="1"/>
        <rFont val="Times New Roman"/>
        <family val="1"/>
      </rPr>
      <t>)</t>
    </r>
  </si>
  <si>
    <r>
      <rPr>
        <b/>
        <sz val="16"/>
        <color theme="1"/>
        <rFont val="標楷體"/>
        <family val="4"/>
        <charset val="136"/>
      </rPr>
      <t>電力</t>
    </r>
    <r>
      <rPr>
        <b/>
        <sz val="16"/>
        <color theme="1"/>
        <rFont val="Times New Roman"/>
        <family val="1"/>
      </rPr>
      <t>(MWh)</t>
    </r>
    <phoneticPr fontId="1" type="noConversion"/>
  </si>
  <si>
    <r>
      <rPr>
        <b/>
        <sz val="16"/>
        <color theme="1"/>
        <rFont val="標楷體"/>
        <family val="4"/>
        <charset val="136"/>
      </rPr>
      <t>蒸汽量</t>
    </r>
    <r>
      <rPr>
        <b/>
        <sz val="16"/>
        <color theme="1"/>
        <rFont val="Times New Roman"/>
        <family val="1"/>
      </rPr>
      <t>(T/H)</t>
    </r>
    <phoneticPr fontId="1" type="noConversion"/>
  </si>
  <si>
    <r>
      <rPr>
        <b/>
        <sz val="16"/>
        <color theme="1"/>
        <rFont val="標楷體"/>
        <family val="4"/>
        <charset val="136"/>
      </rPr>
      <t>熱值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標楷體"/>
        <family val="4"/>
        <charset val="136"/>
      </rPr>
      <t>仟卡</t>
    </r>
    <r>
      <rPr>
        <b/>
        <sz val="16"/>
        <color theme="1"/>
        <rFont val="Times New Roman"/>
        <family val="1"/>
      </rPr>
      <t>)</t>
    </r>
  </si>
  <si>
    <r>
      <rPr>
        <b/>
        <sz val="16"/>
        <color theme="1"/>
        <rFont val="標楷體"/>
        <family val="4"/>
        <charset val="136"/>
      </rPr>
      <t>燃燒量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標楷體"/>
        <family val="4"/>
        <charset val="136"/>
      </rPr>
      <t>公噸</t>
    </r>
    <r>
      <rPr>
        <b/>
        <sz val="16"/>
        <color theme="1"/>
        <rFont val="Times New Roman"/>
        <family val="1"/>
      </rPr>
      <t>)</t>
    </r>
  </si>
  <si>
    <r>
      <rPr>
        <b/>
        <sz val="16"/>
        <color theme="1"/>
        <rFont val="標楷體"/>
        <family val="4"/>
        <charset val="136"/>
      </rPr>
      <t xml:space="preserve">垃圾進廠量
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標楷體"/>
        <family val="4"/>
        <charset val="136"/>
      </rPr>
      <t>公噸</t>
    </r>
    <r>
      <rPr>
        <b/>
        <sz val="16"/>
        <color theme="1"/>
        <rFont val="Times New Roman"/>
        <family val="1"/>
      </rPr>
      <t>)</t>
    </r>
  </si>
  <si>
    <t>4月</t>
    <phoneticPr fontId="1" type="noConversion"/>
  </si>
  <si>
    <t>3月</t>
    <phoneticPr fontId="1" type="noConversion"/>
  </si>
  <si>
    <t>2月</t>
    <phoneticPr fontId="1" type="noConversion"/>
  </si>
  <si>
    <t>31.</t>
  </si>
  <si>
    <t>1月</t>
    <phoneticPr fontId="1" type="noConversion"/>
  </si>
  <si>
    <t>氫氧化鈉</t>
    <phoneticPr fontId="1" type="noConversion"/>
  </si>
  <si>
    <t>鹽酸</t>
    <phoneticPr fontId="1" type="noConversion"/>
  </si>
  <si>
    <t>PH調節劑</t>
    <phoneticPr fontId="1" type="noConversion"/>
  </si>
  <si>
    <t>磷酸鈉</t>
    <phoneticPr fontId="1" type="noConversion"/>
  </si>
  <si>
    <t>混凝劑</t>
    <phoneticPr fontId="1" type="noConversion"/>
  </si>
  <si>
    <t>助混凝劑</t>
    <phoneticPr fontId="1" type="noConversion"/>
  </si>
  <si>
    <t>次氯酸鈉</t>
    <phoneticPr fontId="1" type="noConversion"/>
  </si>
  <si>
    <t xml:space="preserve">本月備註說明
</t>
    <phoneticPr fontId="1" type="noConversion"/>
  </si>
  <si>
    <t>純水廠</t>
    <phoneticPr fontId="1" type="noConversion"/>
  </si>
  <si>
    <t>化學加藥(鍋爐)</t>
    <phoneticPr fontId="1" type="noConversion"/>
  </si>
  <si>
    <t>步驟 4：最後，按 CTRL+SHIFT+ENTER。</t>
  </si>
  <si>
    <t>步驟 3：輸入原始的儲存格範圍。</t>
  </si>
  <si>
    <t>步驟 2：輸入 =TRANSPOSE(</t>
  </si>
  <si>
    <t>步驟 1：選取空白儲存格</t>
  </si>
  <si>
    <t>※每日產出量大於23包標記為綠色，以一日產生1米原灰(1米可做17包)，平均一日需製作23包(生產7天製作5天)</t>
    <phoneticPr fontId="17" type="noConversion"/>
  </si>
  <si>
    <t>平均重量/包(KG)</t>
    <phoneticPr fontId="17" type="noConversion"/>
  </si>
  <si>
    <t>當日清運重量</t>
    <phoneticPr fontId="17" type="noConversion"/>
  </si>
  <si>
    <t>每包均重</t>
    <phoneticPr fontId="17" type="noConversion"/>
  </si>
  <si>
    <t>當日廠內包數</t>
    <phoneticPr fontId="17" type="noConversion"/>
  </si>
  <si>
    <t>運出包數</t>
    <phoneticPr fontId="17" type="noConversion"/>
  </si>
  <si>
    <t>廠內剩餘</t>
    <phoneticPr fontId="17" type="noConversion"/>
  </si>
  <si>
    <t>產出包數</t>
    <phoneticPr fontId="17" type="noConversion"/>
  </si>
  <si>
    <t>12月</t>
    <phoneticPr fontId="17" type="noConversion"/>
  </si>
  <si>
    <t>清運車趟</t>
    <phoneticPr fontId="17" type="noConversion"/>
  </si>
  <si>
    <t>11月</t>
    <phoneticPr fontId="17" type="noConversion"/>
  </si>
  <si>
    <t>10月</t>
    <phoneticPr fontId="17" type="noConversion"/>
  </si>
  <si>
    <t>9月</t>
    <phoneticPr fontId="17" type="noConversion"/>
  </si>
  <si>
    <t>8月</t>
    <phoneticPr fontId="17" type="noConversion"/>
  </si>
  <si>
    <t>7月</t>
    <phoneticPr fontId="17" type="noConversion"/>
  </si>
  <si>
    <t>6月</t>
    <phoneticPr fontId="17" type="noConversion"/>
  </si>
  <si>
    <t>5月</t>
    <phoneticPr fontId="17" type="noConversion"/>
  </si>
  <si>
    <t>4月</t>
    <phoneticPr fontId="17" type="noConversion"/>
  </si>
  <si>
    <t>3月</t>
    <phoneticPr fontId="17" type="noConversion"/>
  </si>
  <si>
    <t>2月</t>
    <phoneticPr fontId="17" type="noConversion"/>
  </si>
  <si>
    <t>1月</t>
    <phoneticPr fontId="17" type="noConversion"/>
  </si>
  <si>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</si>
  <si>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rPr>
        <sz val="12"/>
        <color theme="1"/>
        <rFont val="標楷體"/>
        <family val="4"/>
        <charset val="136"/>
      </rPr>
      <t>公所</t>
    </r>
  </si>
  <si>
    <r>
      <rPr>
        <sz val="12"/>
        <color theme="1"/>
        <rFont val="標楷體"/>
        <family val="4"/>
        <charset val="136"/>
      </rPr>
      <t>轉運</t>
    </r>
  </si>
  <si>
    <r>
      <rPr>
        <sz val="12"/>
        <color theme="1"/>
        <rFont val="標楷體"/>
        <family val="4"/>
        <charset val="136"/>
      </rPr>
      <t>事廢</t>
    </r>
  </si>
  <si>
    <r>
      <rPr>
        <sz val="12"/>
        <color theme="1"/>
        <rFont val="標楷體"/>
        <family val="4"/>
        <charset val="136"/>
      </rPr>
      <t>本月進廠量</t>
    </r>
  </si>
  <si>
    <r>
      <rPr>
        <sz val="12"/>
        <color theme="1"/>
        <rFont val="標楷體"/>
        <family val="4"/>
        <charset val="136"/>
      </rPr>
      <t>一號爐</t>
    </r>
  </si>
  <si>
    <r>
      <rPr>
        <sz val="12"/>
        <color theme="1"/>
        <rFont val="標楷體"/>
        <family val="4"/>
        <charset val="136"/>
      </rPr>
      <t>二號爐</t>
    </r>
  </si>
  <si>
    <r>
      <rPr>
        <sz val="12"/>
        <color theme="1"/>
        <rFont val="標楷體"/>
        <family val="4"/>
        <charset val="136"/>
      </rPr>
      <t>合計</t>
    </r>
    <phoneticPr fontId="1" type="noConversion"/>
  </si>
  <si>
    <r>
      <rPr>
        <sz val="12"/>
        <color theme="1"/>
        <rFont val="標楷體"/>
        <family val="4"/>
        <charset val="136"/>
      </rPr>
      <t>發電量</t>
    </r>
    <phoneticPr fontId="1" type="noConversion"/>
  </si>
  <si>
    <r>
      <rPr>
        <sz val="12"/>
        <color theme="1"/>
        <rFont val="標楷體"/>
        <family val="4"/>
        <charset val="136"/>
      </rPr>
      <t>售電量</t>
    </r>
    <phoneticPr fontId="1" type="noConversion"/>
  </si>
  <si>
    <r>
      <rPr>
        <sz val="12"/>
        <color theme="1"/>
        <rFont val="標楷體"/>
        <family val="4"/>
        <charset val="136"/>
      </rPr>
      <t>廠內用電</t>
    </r>
    <phoneticPr fontId="1" type="noConversion"/>
  </si>
  <si>
    <r>
      <rPr>
        <sz val="12"/>
        <color theme="1"/>
        <rFont val="標楷體"/>
        <family val="4"/>
        <charset val="136"/>
      </rPr>
      <t>尿素</t>
    </r>
  </si>
  <si>
    <r>
      <rPr>
        <sz val="12"/>
        <color theme="1"/>
        <rFont val="標楷體"/>
        <family val="4"/>
        <charset val="136"/>
      </rPr>
      <t>柴油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公升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</si>
  <si>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純水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公噸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</si>
  <si>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自來水用表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公噸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</si>
  <si>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電表</t>
    </r>
  </si>
  <si>
    <r>
      <rPr>
        <sz val="12"/>
        <color theme="1"/>
        <rFont val="標楷體"/>
        <family val="4"/>
        <charset val="136"/>
      </rPr>
      <t>底渣</t>
    </r>
  </si>
  <si>
    <r>
      <rPr>
        <sz val="12"/>
        <color theme="1"/>
        <rFont val="標楷體"/>
        <family val="4"/>
        <charset val="136"/>
      </rPr>
      <t>飛灰</t>
    </r>
  </si>
  <si>
    <t>合計</t>
    <phoneticPr fontId="1" type="noConversion"/>
  </si>
  <si>
    <t>單包重量</t>
    <phoneticPr fontId="17" type="noConversion"/>
  </si>
  <si>
    <t>增重比</t>
    <phoneticPr fontId="17" type="noConversion"/>
  </si>
  <si>
    <t>合計重量</t>
    <phoneticPr fontId="17" type="noConversion"/>
  </si>
  <si>
    <t>水</t>
    <phoneticPr fontId="17" type="noConversion"/>
  </si>
  <si>
    <t>螯合劑</t>
    <phoneticPr fontId="17" type="noConversion"/>
  </si>
  <si>
    <t>水泥</t>
    <phoneticPr fontId="17" type="noConversion"/>
  </si>
  <si>
    <t>原灰</t>
    <phoneticPr fontId="17" type="noConversion"/>
  </si>
  <si>
    <t>包數</t>
    <phoneticPr fontId="17" type="noConversion"/>
  </si>
  <si>
    <r>
      <t>1</t>
    </r>
    <r>
      <rPr>
        <sz val="12"/>
        <color theme="1"/>
        <rFont val="新細明體"/>
        <family val="2"/>
        <charset val="136"/>
      </rPr>
      <t>月份</t>
    </r>
    <phoneticPr fontId="17" type="noConversion"/>
  </si>
  <si>
    <t>廢水廠(公斤)</t>
    <phoneticPr fontId="1" type="noConversion"/>
  </si>
  <si>
    <t>2月份</t>
    <phoneticPr fontId="17" type="noConversion"/>
  </si>
  <si>
    <t>28.</t>
    <phoneticPr fontId="1" type="noConversion"/>
  </si>
  <si>
    <t>29.</t>
    <phoneticPr fontId="1" type="noConversion"/>
  </si>
  <si>
    <t>30.</t>
    <phoneticPr fontId="1" type="noConversion"/>
  </si>
  <si>
    <t>31.</t>
    <phoneticPr fontId="1" type="noConversion"/>
  </si>
  <si>
    <t>消石灰</t>
    <phoneticPr fontId="1" type="noConversion"/>
  </si>
  <si>
    <t>活性碳</t>
    <phoneticPr fontId="1" type="noConversion"/>
  </si>
  <si>
    <r>
      <rPr>
        <sz val="14"/>
        <color theme="1"/>
        <rFont val="Times New Roman"/>
        <family val="1"/>
      </rPr>
      <t>2</t>
    </r>
    <r>
      <rPr>
        <sz val="14"/>
        <color theme="1"/>
        <rFont val="標楷體"/>
        <family val="4"/>
        <charset val="136"/>
      </rPr>
      <t>月</t>
    </r>
    <phoneticPr fontId="1" type="noConversion"/>
  </si>
  <si>
    <t>3月份</t>
    <phoneticPr fontId="17" type="noConversion"/>
  </si>
  <si>
    <t>標格數量為白板統計數量，不一定為實際製作數量，有包含清潔打除的</t>
    <phoneticPr fontId="17" type="noConversion"/>
  </si>
  <si>
    <t>4月份</t>
    <phoneticPr fontId="17" type="noConversion"/>
  </si>
  <si>
    <t>5月份</t>
    <phoneticPr fontId="17" type="noConversion"/>
  </si>
  <si>
    <t>腐蝕抑制劑</t>
    <phoneticPr fontId="1" type="noConversion"/>
  </si>
  <si>
    <t>脫氧劑</t>
    <phoneticPr fontId="1" type="noConversion"/>
  </si>
  <si>
    <t>6月份</t>
    <phoneticPr fontId="17" type="noConversion"/>
  </si>
  <si>
    <t>7月</t>
    <phoneticPr fontId="1" type="noConversion"/>
  </si>
  <si>
    <t>7月份</t>
    <phoneticPr fontId="17" type="noConversion"/>
  </si>
  <si>
    <t>8月</t>
    <phoneticPr fontId="1" type="noConversion"/>
  </si>
  <si>
    <t>8月份</t>
    <phoneticPr fontId="17" type="noConversion"/>
  </si>
  <si>
    <t>9月</t>
    <phoneticPr fontId="1" type="noConversion"/>
  </si>
  <si>
    <t>9月份</t>
    <phoneticPr fontId="17" type="noConversion"/>
  </si>
  <si>
    <t>10月</t>
    <phoneticPr fontId="1" type="noConversion"/>
  </si>
  <si>
    <t>10月份</t>
    <phoneticPr fontId="17" type="noConversion"/>
  </si>
  <si>
    <t>11月</t>
    <phoneticPr fontId="1" type="noConversion"/>
  </si>
  <si>
    <t>11月份</t>
    <phoneticPr fontId="17" type="noConversion"/>
  </si>
  <si>
    <t>12月</t>
    <phoneticPr fontId="1" type="noConversion"/>
  </si>
  <si>
    <t>115/1</t>
    <phoneticPr fontId="1" type="noConversion"/>
  </si>
  <si>
    <t>115/2</t>
  </si>
  <si>
    <t>115/3</t>
  </si>
  <si>
    <t>115/4</t>
  </si>
  <si>
    <t>115/5</t>
  </si>
  <si>
    <t>115/6</t>
  </si>
  <si>
    <t>115/7</t>
  </si>
  <si>
    <t>115/8</t>
  </si>
  <si>
    <t>115/9</t>
  </si>
  <si>
    <t>115/10</t>
  </si>
  <si>
    <t>115/11</t>
  </si>
  <si>
    <t>115/12</t>
  </si>
  <si>
    <t>1.</t>
  </si>
  <si>
    <t>2.</t>
  </si>
  <si>
    <t>3.</t>
  </si>
  <si>
    <t>4.</t>
  </si>
  <si>
    <t>5.</t>
  </si>
  <si>
    <t>6.</t>
    <phoneticPr fontId="1" type="noConversion"/>
  </si>
  <si>
    <t>12.</t>
    <phoneticPr fontId="1" type="noConversion"/>
  </si>
  <si>
    <t>23.</t>
    <phoneticPr fontId="1" type="noConversion"/>
  </si>
  <si>
    <t>27.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</si>
</sst>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_);[Red]\(#,##0.00\)"/>
    <numFmt numFmtId="177" formatCode="m&quot;月&quot;d&quot;日&quot;"/>
    <numFmt numFmtId="178" formatCode="0.00_ "/>
    <numFmt numFmtId="179" formatCode="0.00_);[Red]\(0.00\)"/>
    <numFmt numFmtId="180" formatCode="#,##0_ "/>
    <numFmt numFmtId="181" formatCode="0.0000"/>
  </numFmts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theme="1"/>
      <name val="Times New Roman"/>
      <family val="4"/>
      <charset val="136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136"/>
    </font>
    <font>
      <b/>
      <sz val="14"/>
      <color theme="1"/>
      <name val="Times New Roman"/>
      <family val="4"/>
      <charset val="136"/>
    </font>
    <font>
      <b/>
      <sz val="12"/>
      <color theme="1"/>
      <name val="新細明體"/>
      <family val="1"/>
      <charset val="136"/>
    </font>
    <font>
      <b/>
      <sz val="16"/>
      <color theme="1"/>
      <name val="Times New Roman"/>
      <family val="1"/>
    </font>
    <font>
      <b/>
      <sz val="16"/>
      <color theme="1"/>
      <name val="Times New Roman"/>
      <family val="4"/>
      <charset val="136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6"/>
      <color theme="1"/>
      <name val="細明體"/>
      <family val="3"/>
      <charset val="136"/>
    </font>
    <font>
      <sz val="16"/>
      <color theme="1"/>
      <name val="Wingdings 2"/>
      <family val="1"/>
      <charset val="2"/>
    </font>
    <font>
      <b/>
      <sz val="12"/>
      <color theme="0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Microsoft JhengHei Light"/>
      <family val="2"/>
      <charset val="136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</font>
    <font>
      <sz val="14"/>
      <color theme="1"/>
      <name val="標楷體"/>
      <family val="1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b/>
      <sz val="14"/>
      <color indexed="81"/>
      <name val="細明體"/>
      <family val="3"/>
      <charset val="136"/>
    </font>
    <font>
      <sz val="12"/>
      <name val="Times New Roman"/>
      <family val="1"/>
    </font>
    <font>
      <b/>
      <sz val="14"/>
      <color indexed="81"/>
      <name val="新細明體"/>
      <family val="1"/>
      <charset val="136"/>
      <scheme val="major"/>
    </font>
    <font>
      <b/>
      <sz val="14"/>
      <color indexed="81"/>
      <name val="新細明體"/>
      <family val="1"/>
      <charset val="136"/>
      <scheme val="minor"/>
    </font>
    <font>
      <b/>
      <sz val="14"/>
      <color indexed="81"/>
      <name val="新細明體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14" fillId="0" borderId="0"/>
  </cellStyleXfs>
  <cellXfs count="253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/>
    </xf>
    <xf numFmtId="176" fontId="2" fillId="0" borderId="2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6" fontId="2" fillId="0" borderId="4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177" fontId="2" fillId="0" borderId="6" xfId="0" applyNumberFormat="1" applyFont="1" applyBorder="1">
      <alignment vertical="center"/>
    </xf>
    <xf numFmtId="49" fontId="0" fillId="0" borderId="7" xfId="0" applyNumberFormat="1" applyBorder="1" applyAlignment="1">
      <alignment horizontal="left" vertical="center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177" fontId="2" fillId="0" borderId="12" xfId="0" applyNumberFormat="1" applyFont="1" applyBorder="1">
      <alignment vertical="center"/>
    </xf>
    <xf numFmtId="49" fontId="0" fillId="0" borderId="13" xfId="0" applyNumberFormat="1" applyBorder="1" applyAlignment="1">
      <alignment horizontal="left"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49" fontId="3" fillId="0" borderId="18" xfId="0" applyNumberFormat="1" applyFont="1" applyBorder="1">
      <alignment vertical="center"/>
    </xf>
    <xf numFmtId="176" fontId="4" fillId="0" borderId="19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76" fontId="4" fillId="0" borderId="21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177" fontId="2" fillId="0" borderId="31" xfId="0" applyNumberFormat="1" applyFont="1" applyBorder="1">
      <alignment vertical="center"/>
    </xf>
    <xf numFmtId="177" fontId="2" fillId="0" borderId="32" xfId="0" applyNumberFormat="1" applyFont="1" applyBorder="1">
      <alignment vertical="center"/>
    </xf>
    <xf numFmtId="177" fontId="2" fillId="0" borderId="33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176" fontId="2" fillId="0" borderId="36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6" fontId="2" fillId="0" borderId="38" xfId="0" applyNumberFormat="1" applyFont="1" applyBorder="1">
      <alignment vertical="center"/>
    </xf>
    <xf numFmtId="49" fontId="3" fillId="0" borderId="39" xfId="0" applyNumberFormat="1" applyFont="1" applyBorder="1">
      <alignment vertical="center"/>
    </xf>
    <xf numFmtId="176" fontId="4" fillId="0" borderId="29" xfId="0" applyNumberFormat="1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178" fontId="19" fillId="3" borderId="6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8" fillId="4" borderId="48" xfId="1" applyFont="1" applyFill="1" applyBorder="1" applyAlignment="1">
      <alignment horizontal="center" vertical="center"/>
    </xf>
    <xf numFmtId="0" fontId="18" fillId="4" borderId="49" xfId="1" applyFont="1" applyFill="1" applyBorder="1" applyAlignment="1">
      <alignment vertical="center"/>
    </xf>
    <xf numFmtId="0" fontId="18" fillId="4" borderId="50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3" borderId="10" xfId="1" applyFont="1" applyFill="1" applyBorder="1" applyAlignment="1">
      <alignment horizontal="center" vertical="center"/>
    </xf>
    <xf numFmtId="0" fontId="19" fillId="5" borderId="50" xfId="1" applyFont="1" applyFill="1" applyBorder="1" applyAlignment="1">
      <alignment horizontal="center" vertical="center"/>
    </xf>
    <xf numFmtId="0" fontId="18" fillId="4" borderId="53" xfId="1" applyFont="1" applyFill="1" applyBorder="1" applyAlignment="1">
      <alignment horizontal="center" vertical="center"/>
    </xf>
    <xf numFmtId="0" fontId="18" fillId="4" borderId="49" xfId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8" fillId="4" borderId="54" xfId="1" applyFont="1" applyFill="1" applyBorder="1" applyAlignment="1">
      <alignment horizontal="right" vertical="center"/>
    </xf>
    <xf numFmtId="0" fontId="19" fillId="6" borderId="50" xfId="1" applyFont="1" applyFill="1" applyBorder="1" applyAlignment="1">
      <alignment horizontal="center" vertical="center"/>
    </xf>
    <xf numFmtId="177" fontId="22" fillId="7" borderId="29" xfId="1" applyNumberFormat="1" applyFont="1" applyFill="1" applyBorder="1" applyAlignment="1">
      <alignment horizontal="center" vertical="center"/>
    </xf>
    <xf numFmtId="177" fontId="22" fillId="7" borderId="24" xfId="1" applyNumberFormat="1" applyFont="1" applyFill="1" applyBorder="1" applyAlignment="1">
      <alignment horizontal="center" vertical="center"/>
    </xf>
    <xf numFmtId="177" fontId="22" fillId="7" borderId="30" xfId="1" applyNumberFormat="1" applyFont="1" applyFill="1" applyBorder="1" applyAlignment="1">
      <alignment horizontal="center" vertical="center"/>
    </xf>
    <xf numFmtId="0" fontId="18" fillId="4" borderId="25" xfId="1" applyFont="1" applyFill="1" applyBorder="1" applyAlignment="1">
      <alignment horizontal="center" vertical="center"/>
    </xf>
    <xf numFmtId="178" fontId="19" fillId="3" borderId="50" xfId="1" applyNumberFormat="1" applyFont="1" applyFill="1" applyBorder="1" applyAlignment="1">
      <alignment horizontal="center" vertical="center"/>
    </xf>
    <xf numFmtId="0" fontId="18" fillId="4" borderId="54" xfId="1" applyFont="1" applyFill="1" applyBorder="1" applyAlignment="1">
      <alignment vertical="center"/>
    </xf>
    <xf numFmtId="176" fontId="18" fillId="4" borderId="53" xfId="1" applyNumberFormat="1" applyFont="1" applyFill="1" applyBorder="1" applyAlignment="1">
      <alignment horizontal="center" vertical="center"/>
    </xf>
    <xf numFmtId="178" fontId="15" fillId="0" borderId="0" xfId="1" applyNumberFormat="1" applyFont="1" applyAlignment="1">
      <alignment vertical="center"/>
    </xf>
    <xf numFmtId="0" fontId="25" fillId="0" borderId="17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28" fillId="0" borderId="0" xfId="2" applyFont="1" applyAlignment="1">
      <alignment vertical="center"/>
    </xf>
    <xf numFmtId="179" fontId="28" fillId="0" borderId="4" xfId="2" applyNumberFormat="1" applyFont="1" applyBorder="1" applyAlignment="1">
      <alignment horizontal="center" vertical="center"/>
    </xf>
    <xf numFmtId="178" fontId="28" fillId="0" borderId="5" xfId="2" applyNumberFormat="1" applyFont="1" applyBorder="1" applyAlignment="1">
      <alignment horizontal="center" vertical="center"/>
    </xf>
    <xf numFmtId="180" fontId="28" fillId="0" borderId="36" xfId="2" applyNumberFormat="1" applyFont="1" applyBorder="1" applyAlignment="1">
      <alignment horizontal="center" vertical="center"/>
    </xf>
    <xf numFmtId="180" fontId="28" fillId="0" borderId="4" xfId="2" applyNumberFormat="1" applyFont="1" applyBorder="1" applyAlignment="1">
      <alignment horizontal="center" vertical="center"/>
    </xf>
    <xf numFmtId="180" fontId="28" fillId="0" borderId="5" xfId="2" applyNumberFormat="1" applyFont="1" applyBorder="1" applyAlignment="1">
      <alignment horizontal="center" vertical="center"/>
    </xf>
    <xf numFmtId="180" fontId="28" fillId="0" borderId="32" xfId="2" applyNumberFormat="1" applyFont="1" applyBorder="1" applyAlignment="1">
      <alignment horizontal="center" vertical="center"/>
    </xf>
    <xf numFmtId="177" fontId="28" fillId="0" borderId="32" xfId="2" applyNumberFormat="1" applyFont="1" applyBorder="1" applyAlignment="1">
      <alignment vertical="center"/>
    </xf>
    <xf numFmtId="179" fontId="28" fillId="0" borderId="10" xfId="2" applyNumberFormat="1" applyFont="1" applyBorder="1" applyAlignment="1">
      <alignment horizontal="center" vertical="center"/>
    </xf>
    <xf numFmtId="178" fontId="28" fillId="0" borderId="11" xfId="2" applyNumberFormat="1" applyFont="1" applyBorder="1" applyAlignment="1">
      <alignment horizontal="center" vertical="center"/>
    </xf>
    <xf numFmtId="180" fontId="28" fillId="0" borderId="37" xfId="2" applyNumberFormat="1" applyFont="1" applyBorder="1" applyAlignment="1">
      <alignment horizontal="center" vertical="center"/>
    </xf>
    <xf numFmtId="180" fontId="28" fillId="0" borderId="10" xfId="2" applyNumberFormat="1" applyFont="1" applyBorder="1" applyAlignment="1">
      <alignment horizontal="center" vertical="center"/>
    </xf>
    <xf numFmtId="180" fontId="28" fillId="0" borderId="11" xfId="2" applyNumberFormat="1" applyFont="1" applyBorder="1" applyAlignment="1">
      <alignment horizontal="center" vertical="center"/>
    </xf>
    <xf numFmtId="180" fontId="28" fillId="0" borderId="33" xfId="2" applyNumberFormat="1" applyFont="1" applyBorder="1" applyAlignment="1">
      <alignment horizontal="center" vertical="center"/>
    </xf>
    <xf numFmtId="177" fontId="28" fillId="0" borderId="33" xfId="2" applyNumberFormat="1" applyFont="1" applyBorder="1" applyAlignment="1">
      <alignment vertical="center"/>
    </xf>
    <xf numFmtId="0" fontId="14" fillId="0" borderId="0" xfId="2" applyAlignment="1">
      <alignment horizontal="right" vertical="center"/>
    </xf>
    <xf numFmtId="0" fontId="15" fillId="0" borderId="57" xfId="2" applyFont="1" applyBorder="1" applyAlignment="1">
      <alignment horizontal="center" vertical="center"/>
    </xf>
    <xf numFmtId="0" fontId="15" fillId="0" borderId="58" xfId="2" applyFont="1" applyBorder="1" applyAlignment="1">
      <alignment horizontal="center" vertical="center"/>
    </xf>
    <xf numFmtId="0" fontId="15" fillId="0" borderId="59" xfId="2" applyFont="1" applyBorder="1" applyAlignment="1">
      <alignment horizontal="center" vertical="center"/>
    </xf>
    <xf numFmtId="0" fontId="15" fillId="0" borderId="60" xfId="2" applyFont="1" applyBorder="1" applyAlignment="1">
      <alignment horizontal="center" vertical="center"/>
    </xf>
    <xf numFmtId="49" fontId="0" fillId="0" borderId="13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0" fontId="2" fillId="9" borderId="1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 wrapText="1"/>
    </xf>
    <xf numFmtId="0" fontId="27" fillId="9" borderId="11" xfId="0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179" fontId="28" fillId="0" borderId="0" xfId="2" applyNumberFormat="1" applyFont="1" applyAlignment="1">
      <alignment horizontal="center" vertical="center"/>
    </xf>
    <xf numFmtId="180" fontId="15" fillId="0" borderId="50" xfId="2" applyNumberFormat="1" applyFont="1" applyBorder="1" applyAlignment="1">
      <alignment horizontal="center" vertical="center"/>
    </xf>
    <xf numFmtId="180" fontId="15" fillId="0" borderId="61" xfId="2" applyNumberFormat="1" applyFont="1" applyBorder="1" applyAlignment="1">
      <alignment horizontal="center" vertical="center"/>
    </xf>
    <xf numFmtId="180" fontId="15" fillId="0" borderId="62" xfId="2" applyNumberFormat="1" applyFont="1" applyBorder="1" applyAlignment="1">
      <alignment horizontal="center" vertical="center"/>
    </xf>
    <xf numFmtId="180" fontId="15" fillId="0" borderId="63" xfId="2" applyNumberFormat="1" applyFont="1" applyBorder="1" applyAlignment="1">
      <alignment horizontal="center" vertical="center"/>
    </xf>
    <xf numFmtId="178" fontId="28" fillId="0" borderId="37" xfId="2" applyNumberFormat="1" applyFont="1" applyBorder="1" applyAlignment="1">
      <alignment horizontal="center" vertical="center"/>
    </xf>
    <xf numFmtId="178" fontId="28" fillId="0" borderId="36" xfId="2" applyNumberFormat="1" applyFont="1" applyBorder="1" applyAlignment="1">
      <alignment horizontal="center" vertical="center"/>
    </xf>
    <xf numFmtId="179" fontId="15" fillId="0" borderId="63" xfId="2" applyNumberFormat="1" applyFont="1" applyBorder="1" applyAlignment="1">
      <alignment horizontal="center" vertical="center"/>
    </xf>
    <xf numFmtId="179" fontId="15" fillId="0" borderId="61" xfId="2" applyNumberFormat="1" applyFont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15" fillId="3" borderId="11" xfId="1" applyFont="1" applyFill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177" fontId="28" fillId="0" borderId="0" xfId="2" applyNumberFormat="1" applyFont="1" applyAlignment="1">
      <alignment vertical="center"/>
    </xf>
    <xf numFmtId="180" fontId="28" fillId="0" borderId="0" xfId="2" applyNumberFormat="1" applyFont="1" applyAlignment="1">
      <alignment horizontal="center" vertical="center"/>
    </xf>
    <xf numFmtId="178" fontId="28" fillId="0" borderId="0" xfId="2" applyNumberFormat="1" applyFont="1" applyAlignment="1">
      <alignment horizontal="center" vertical="center"/>
    </xf>
    <xf numFmtId="177" fontId="2" fillId="0" borderId="54" xfId="0" applyNumberFormat="1" applyFont="1" applyBorder="1">
      <alignment vertical="center"/>
    </xf>
    <xf numFmtId="176" fontId="4" fillId="0" borderId="64" xfId="0" applyNumberFormat="1" applyFont="1" applyBorder="1" applyAlignment="1">
      <alignment horizontal="center" vertical="center"/>
    </xf>
    <xf numFmtId="176" fontId="4" fillId="0" borderId="62" xfId="0" applyNumberFormat="1" applyFont="1" applyBorder="1" applyAlignment="1">
      <alignment horizontal="center" vertical="center"/>
    </xf>
    <xf numFmtId="176" fontId="4" fillId="0" borderId="63" xfId="0" applyNumberFormat="1" applyFont="1" applyBorder="1" applyAlignment="1">
      <alignment horizontal="center" vertical="center"/>
    </xf>
    <xf numFmtId="176" fontId="4" fillId="0" borderId="43" xfId="0" applyNumberFormat="1" applyFont="1" applyBorder="1" applyAlignment="1">
      <alignment horizontal="center" vertical="center"/>
    </xf>
    <xf numFmtId="176" fontId="4" fillId="0" borderId="44" xfId="0" applyNumberFormat="1" applyFont="1" applyBorder="1" applyAlignment="1">
      <alignment horizontal="center" vertical="center"/>
    </xf>
    <xf numFmtId="176" fontId="4" fillId="0" borderId="65" xfId="0" applyNumberFormat="1" applyFont="1" applyBorder="1" applyAlignment="1">
      <alignment horizontal="center" vertical="center"/>
    </xf>
    <xf numFmtId="49" fontId="3" fillId="0" borderId="40" xfId="0" applyNumberFormat="1" applyFont="1" applyBorder="1">
      <alignment vertical="center"/>
    </xf>
    <xf numFmtId="176" fontId="2" fillId="0" borderId="66" xfId="0" applyNumberFormat="1" applyFont="1" applyBorder="1">
      <alignment vertical="center"/>
    </xf>
    <xf numFmtId="176" fontId="2" fillId="0" borderId="67" xfId="0" applyNumberFormat="1" applyFont="1" applyBorder="1">
      <alignment vertical="center"/>
    </xf>
    <xf numFmtId="176" fontId="2" fillId="0" borderId="68" xfId="0" applyNumberFormat="1" applyFont="1" applyBorder="1">
      <alignment vertical="center"/>
    </xf>
    <xf numFmtId="49" fontId="0" fillId="0" borderId="69" xfId="0" applyNumberFormat="1" applyBorder="1" applyAlignment="1">
      <alignment horizontal="left" vertical="center"/>
    </xf>
    <xf numFmtId="49" fontId="0" fillId="0" borderId="55" xfId="0" applyNumberFormat="1" applyBorder="1" applyAlignment="1">
      <alignment horizontal="left" vertical="center"/>
    </xf>
    <xf numFmtId="49" fontId="0" fillId="0" borderId="70" xfId="0" applyNumberFormat="1" applyBorder="1" applyAlignment="1">
      <alignment horizontal="left" vertical="center"/>
    </xf>
    <xf numFmtId="176" fontId="2" fillId="0" borderId="71" xfId="0" applyNumberFormat="1" applyFont="1" applyBorder="1">
      <alignment vertical="center"/>
    </xf>
    <xf numFmtId="177" fontId="2" fillId="0" borderId="72" xfId="0" applyNumberFormat="1" applyFont="1" applyBorder="1">
      <alignment vertical="center"/>
    </xf>
    <xf numFmtId="177" fontId="2" fillId="0" borderId="47" xfId="0" applyNumberFormat="1" applyFont="1" applyBorder="1">
      <alignment vertical="center"/>
    </xf>
    <xf numFmtId="177" fontId="28" fillId="0" borderId="31" xfId="2" applyNumberFormat="1" applyFont="1" applyBorder="1" applyAlignment="1">
      <alignment vertical="center"/>
    </xf>
    <xf numFmtId="180" fontId="28" fillId="0" borderId="31" xfId="2" applyNumberFormat="1" applyFont="1" applyBorder="1" applyAlignment="1">
      <alignment horizontal="center" vertical="center"/>
    </xf>
    <xf numFmtId="180" fontId="28" fillId="0" borderId="73" xfId="2" applyNumberFormat="1" applyFont="1" applyBorder="1" applyAlignment="1">
      <alignment horizontal="center" vertical="center"/>
    </xf>
    <xf numFmtId="180" fontId="28" fillId="0" borderId="67" xfId="2" applyNumberFormat="1" applyFont="1" applyBorder="1" applyAlignment="1">
      <alignment horizontal="center" vertical="center"/>
    </xf>
    <xf numFmtId="180" fontId="28" fillId="0" borderId="68" xfId="2" applyNumberFormat="1" applyFont="1" applyBorder="1" applyAlignment="1">
      <alignment horizontal="center" vertical="center"/>
    </xf>
    <xf numFmtId="178" fontId="28" fillId="0" borderId="73" xfId="2" applyNumberFormat="1" applyFont="1" applyBorder="1" applyAlignment="1">
      <alignment horizontal="center" vertical="center"/>
    </xf>
    <xf numFmtId="179" fontId="28" fillId="0" borderId="68" xfId="2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2" fillId="0" borderId="21" xfId="0" applyNumberFormat="1" applyFont="1" applyBorder="1">
      <alignment vertical="center"/>
    </xf>
    <xf numFmtId="176" fontId="34" fillId="0" borderId="11" xfId="0" applyNumberFormat="1" applyFont="1" applyBorder="1">
      <alignment vertical="center"/>
    </xf>
    <xf numFmtId="176" fontId="34" fillId="0" borderId="9" xfId="0" applyNumberFormat="1" applyFont="1" applyBorder="1">
      <alignment vertical="center"/>
    </xf>
    <xf numFmtId="176" fontId="34" fillId="0" borderId="10" xfId="0" applyNumberFormat="1" applyFont="1" applyBorder="1">
      <alignment vertical="center"/>
    </xf>
    <xf numFmtId="1" fontId="28" fillId="0" borderId="0" xfId="2" applyNumberFormat="1" applyFont="1" applyAlignment="1">
      <alignment vertical="center"/>
    </xf>
    <xf numFmtId="181" fontId="0" fillId="0" borderId="0" xfId="0" applyNumberFormat="1">
      <alignment vertical="center"/>
    </xf>
    <xf numFmtId="177" fontId="28" fillId="0" borderId="12" xfId="2" applyNumberFormat="1" applyFont="1" applyBorder="1" applyAlignment="1">
      <alignment vertical="center"/>
    </xf>
    <xf numFmtId="180" fontId="28" fillId="0" borderId="12" xfId="2" applyNumberFormat="1" applyFont="1" applyBorder="1" applyAlignment="1">
      <alignment horizontal="center" vertical="center"/>
    </xf>
    <xf numFmtId="180" fontId="28" fillId="0" borderId="38" xfId="2" applyNumberFormat="1" applyFont="1" applyBorder="1" applyAlignment="1">
      <alignment horizontal="center" vertical="center"/>
    </xf>
    <xf numFmtId="180" fontId="28" fillId="0" borderId="17" xfId="2" applyNumberFormat="1" applyFont="1" applyBorder="1" applyAlignment="1">
      <alignment horizontal="center" vertical="center"/>
    </xf>
    <xf numFmtId="180" fontId="28" fillId="0" borderId="16" xfId="2" applyNumberFormat="1" applyFont="1" applyBorder="1" applyAlignment="1">
      <alignment horizontal="center" vertical="center"/>
    </xf>
    <xf numFmtId="178" fontId="28" fillId="0" borderId="38" xfId="2" applyNumberFormat="1" applyFont="1" applyBorder="1" applyAlignment="1">
      <alignment horizontal="center" vertical="center"/>
    </xf>
    <xf numFmtId="179" fontId="28" fillId="0" borderId="16" xfId="2" applyNumberFormat="1" applyFont="1" applyBorder="1" applyAlignment="1">
      <alignment horizontal="center" vertical="center"/>
    </xf>
    <xf numFmtId="180" fontId="15" fillId="0" borderId="6" xfId="2" applyNumberFormat="1" applyFont="1" applyBorder="1" applyAlignment="1">
      <alignment horizontal="center" vertical="center"/>
    </xf>
    <xf numFmtId="180" fontId="15" fillId="0" borderId="74" xfId="2" applyNumberFormat="1" applyFont="1" applyBorder="1" applyAlignment="1">
      <alignment horizontal="center" vertical="center"/>
    </xf>
    <xf numFmtId="180" fontId="15" fillId="0" borderId="22" xfId="2" applyNumberFormat="1" applyFont="1" applyBorder="1" applyAlignment="1">
      <alignment horizontal="center" vertical="center"/>
    </xf>
    <xf numFmtId="180" fontId="15" fillId="0" borderId="21" xfId="2" applyNumberFormat="1" applyFont="1" applyBorder="1" applyAlignment="1">
      <alignment horizontal="center" vertical="center"/>
    </xf>
    <xf numFmtId="179" fontId="15" fillId="0" borderId="74" xfId="2" applyNumberFormat="1" applyFont="1" applyBorder="1" applyAlignment="1">
      <alignment horizontal="center" vertical="center"/>
    </xf>
    <xf numFmtId="179" fontId="15" fillId="0" borderId="21" xfId="2" applyNumberFormat="1" applyFont="1" applyBorder="1" applyAlignment="1">
      <alignment horizontal="center" vertical="center"/>
    </xf>
    <xf numFmtId="178" fontId="28" fillId="0" borderId="17" xfId="2" applyNumberFormat="1" applyFont="1" applyBorder="1" applyAlignment="1">
      <alignment horizontal="center" vertical="center"/>
    </xf>
    <xf numFmtId="179" fontId="15" fillId="0" borderId="22" xfId="2" applyNumberFormat="1" applyFont="1" applyBorder="1" applyAlignment="1">
      <alignment horizontal="center" vertical="center"/>
    </xf>
    <xf numFmtId="0" fontId="15" fillId="10" borderId="9" xfId="1" applyFont="1" applyFill="1" applyBorder="1" applyAlignment="1">
      <alignment horizontal="center" vertical="center"/>
    </xf>
    <xf numFmtId="176" fontId="2" fillId="4" borderId="11" xfId="0" applyNumberFormat="1" applyFont="1" applyFill="1" applyBorder="1">
      <alignment vertical="center"/>
    </xf>
    <xf numFmtId="176" fontId="2" fillId="0" borderId="49" xfId="0" applyNumberFormat="1" applyFont="1" applyBorder="1">
      <alignment vertical="center"/>
    </xf>
    <xf numFmtId="176" fontId="2" fillId="0" borderId="75" xfId="0" applyNumberFormat="1" applyFont="1" applyBorder="1">
      <alignment vertical="center"/>
    </xf>
    <xf numFmtId="0" fontId="5" fillId="2" borderId="76" xfId="0" applyFont="1" applyFill="1" applyBorder="1" applyAlignment="1">
      <alignment horizontal="center" vertical="center"/>
    </xf>
    <xf numFmtId="176" fontId="4" fillId="0" borderId="74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176" fontId="2" fillId="0" borderId="55" xfId="0" applyNumberFormat="1" applyFont="1" applyBorder="1">
      <alignment vertical="center"/>
    </xf>
    <xf numFmtId="0" fontId="8" fillId="9" borderId="11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 wrapText="1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0" fontId="23" fillId="8" borderId="27" xfId="1" applyFont="1" applyFill="1" applyBorder="1" applyAlignment="1">
      <alignment horizontal="center" vertical="center"/>
    </xf>
    <xf numFmtId="0" fontId="23" fillId="8" borderId="26" xfId="1" applyFont="1" applyFill="1" applyBorder="1" applyAlignment="1">
      <alignment horizontal="center" vertical="center"/>
    </xf>
    <xf numFmtId="0" fontId="18" fillId="0" borderId="49" xfId="1" applyFont="1" applyBorder="1" applyAlignment="1">
      <alignment horizontal="center" vertical="center"/>
    </xf>
    <xf numFmtId="0" fontId="18" fillId="0" borderId="48" xfId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177" fontId="18" fillId="0" borderId="42" xfId="1" applyNumberFormat="1" applyFont="1" applyBorder="1" applyAlignment="1">
      <alignment horizontal="center" vertical="center"/>
    </xf>
    <xf numFmtId="177" fontId="18" fillId="0" borderId="40" xfId="1" applyNumberFormat="1" applyFont="1" applyBorder="1" applyAlignment="1">
      <alignment horizontal="center" vertical="center"/>
    </xf>
    <xf numFmtId="177" fontId="18" fillId="0" borderId="39" xfId="1" applyNumberFormat="1" applyFont="1" applyBorder="1" applyAlignment="1">
      <alignment horizontal="center" vertical="center"/>
    </xf>
    <xf numFmtId="0" fontId="18" fillId="0" borderId="52" xfId="1" applyFont="1" applyBorder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177" fontId="22" fillId="0" borderId="56" xfId="1" applyNumberFormat="1" applyFont="1" applyBorder="1" applyAlignment="1">
      <alignment horizontal="center" vertical="center"/>
    </xf>
    <xf numFmtId="177" fontId="22" fillId="0" borderId="42" xfId="1" applyNumberFormat="1" applyFont="1" applyBorder="1" applyAlignment="1">
      <alignment horizontal="center" vertical="center"/>
    </xf>
    <xf numFmtId="177" fontId="22" fillId="0" borderId="0" xfId="1" applyNumberFormat="1" applyFont="1" applyAlignment="1">
      <alignment horizontal="center" vertical="center"/>
    </xf>
    <xf numFmtId="177" fontId="22" fillId="0" borderId="40" xfId="1" applyNumberFormat="1" applyFont="1" applyBorder="1" applyAlignment="1">
      <alignment horizontal="center" vertical="center"/>
    </xf>
    <xf numFmtId="177" fontId="22" fillId="0" borderId="46" xfId="1" applyNumberFormat="1" applyFont="1" applyBorder="1" applyAlignment="1">
      <alignment horizontal="center" vertical="center"/>
    </xf>
    <xf numFmtId="177" fontId="22" fillId="0" borderId="39" xfId="1" applyNumberFormat="1" applyFont="1" applyBorder="1" applyAlignment="1">
      <alignment horizontal="center" vertical="center"/>
    </xf>
    <xf numFmtId="178" fontId="15" fillId="0" borderId="42" xfId="1" applyNumberFormat="1" applyFont="1" applyBorder="1" applyAlignment="1">
      <alignment horizontal="center" vertical="center"/>
    </xf>
    <xf numFmtId="178" fontId="15" fillId="0" borderId="40" xfId="1" applyNumberFormat="1" applyFont="1" applyBorder="1" applyAlignment="1">
      <alignment horizontal="center" vertical="center"/>
    </xf>
    <xf numFmtId="178" fontId="15" fillId="0" borderId="39" xfId="1" applyNumberFormat="1" applyFont="1" applyBorder="1" applyAlignment="1">
      <alignment horizontal="center" vertical="center"/>
    </xf>
    <xf numFmtId="0" fontId="18" fillId="0" borderId="55" xfId="1" applyFont="1" applyBorder="1" applyAlignment="1">
      <alignment horizontal="center" vertical="center"/>
    </xf>
    <xf numFmtId="0" fontId="29" fillId="0" borderId="25" xfId="2" applyFont="1" applyBorder="1" applyAlignment="1">
      <alignment horizontal="center" vertical="center"/>
    </xf>
    <xf numFmtId="0" fontId="14" fillId="0" borderId="6" xfId="2" applyBorder="1" applyAlignment="1">
      <alignment horizontal="center" vertical="center"/>
    </xf>
    <xf numFmtId="0" fontId="14" fillId="0" borderId="50" xfId="2" applyBorder="1" applyAlignment="1">
      <alignment horizontal="center" vertical="center"/>
    </xf>
    <xf numFmtId="0" fontId="14" fillId="0" borderId="25" xfId="2" applyBorder="1" applyAlignment="1">
      <alignment horizontal="center" vertical="center"/>
    </xf>
    <xf numFmtId="0" fontId="29" fillId="0" borderId="6" xfId="2" applyFont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一般 3" xfId="2" xr:uid="{00000000-0005-0000-0000-000002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16"/>
  <sheetViews>
    <sheetView zoomScale="85" zoomScaleNormal="85" workbookViewId="0">
      <pane xSplit="2" topLeftCell="C1" activePane="topRight" state="frozen"/>
      <selection pane="topRight" activeCell="O20" sqref="O20"/>
    </sheetView>
  </sheetViews>
  <sheetFormatPr defaultRowHeight="16.5"/>
  <cols>
    <col min="1" max="1" width="4.125" customWidth="1"/>
    <col min="3" max="3" width="9.875" bestFit="1" customWidth="1"/>
    <col min="4" max="4" width="10.875" bestFit="1" customWidth="1"/>
    <col min="5" max="5" width="9.25" customWidth="1"/>
    <col min="6" max="6" width="12.125" bestFit="1" customWidth="1"/>
    <col min="7" max="9" width="10.875" bestFit="1" customWidth="1"/>
    <col min="14" max="15" width="10.875" bestFit="1" customWidth="1"/>
    <col min="16" max="16" width="9.75" customWidth="1"/>
    <col min="17" max="17" width="8.625" bestFit="1" customWidth="1"/>
    <col min="18" max="20" width="10.875" bestFit="1" customWidth="1"/>
    <col min="21" max="22" width="11.625" bestFit="1" customWidth="1"/>
    <col min="23" max="23" width="18.5" bestFit="1" customWidth="1"/>
    <col min="24" max="24" width="6.125" bestFit="1" customWidth="1"/>
    <col min="25" max="25" width="11.75" customWidth="1"/>
    <col min="26" max="26" width="12.125" customWidth="1"/>
  </cols>
  <sheetData>
    <row r="2" spans="2:26" ht="19.5">
      <c r="B2" s="103"/>
      <c r="C2" s="189" t="s">
        <v>57</v>
      </c>
      <c r="D2" s="189"/>
      <c r="E2" s="189"/>
      <c r="F2" s="189"/>
      <c r="G2" s="189" t="s">
        <v>56</v>
      </c>
      <c r="H2" s="189"/>
      <c r="I2" s="189"/>
      <c r="J2" s="189" t="s">
        <v>55</v>
      </c>
      <c r="K2" s="189"/>
      <c r="L2" s="190" t="s">
        <v>54</v>
      </c>
      <c r="M2" s="189"/>
      <c r="N2" s="191" t="s">
        <v>53</v>
      </c>
      <c r="O2" s="191"/>
      <c r="P2" s="191"/>
      <c r="Q2" s="191"/>
      <c r="R2" s="189" t="s">
        <v>52</v>
      </c>
      <c r="S2" s="189"/>
      <c r="T2" s="189"/>
      <c r="U2" s="189" t="s">
        <v>51</v>
      </c>
      <c r="V2" s="189"/>
      <c r="W2" s="189"/>
      <c r="X2" s="189"/>
      <c r="Y2" s="189" t="s">
        <v>50</v>
      </c>
      <c r="Z2" s="189"/>
    </row>
    <row r="3" spans="2:26">
      <c r="B3" s="103" t="s">
        <v>109</v>
      </c>
      <c r="C3" s="103" t="s">
        <v>110</v>
      </c>
      <c r="D3" s="103" t="s">
        <v>111</v>
      </c>
      <c r="E3" s="103" t="s">
        <v>112</v>
      </c>
      <c r="F3" s="103" t="s">
        <v>113</v>
      </c>
      <c r="G3" s="103" t="s">
        <v>114</v>
      </c>
      <c r="H3" s="103" t="s">
        <v>115</v>
      </c>
      <c r="I3" s="103" t="s">
        <v>116</v>
      </c>
      <c r="J3" s="103" t="s">
        <v>114</v>
      </c>
      <c r="K3" s="103" t="s">
        <v>115</v>
      </c>
      <c r="L3" s="103" t="s">
        <v>114</v>
      </c>
      <c r="M3" s="103" t="s">
        <v>115</v>
      </c>
      <c r="N3" s="104" t="s">
        <v>117</v>
      </c>
      <c r="O3" s="104" t="s">
        <v>118</v>
      </c>
      <c r="P3" s="104" t="s">
        <v>119</v>
      </c>
      <c r="Q3" s="120" t="s">
        <v>38</v>
      </c>
      <c r="R3" s="109" t="s">
        <v>143</v>
      </c>
      <c r="S3" s="109" t="s">
        <v>144</v>
      </c>
      <c r="T3" s="103" t="s">
        <v>120</v>
      </c>
      <c r="U3" s="103" t="s">
        <v>121</v>
      </c>
      <c r="V3" s="105" t="s">
        <v>122</v>
      </c>
      <c r="W3" s="103" t="s">
        <v>123</v>
      </c>
      <c r="X3" s="103" t="s">
        <v>124</v>
      </c>
      <c r="Y3" s="103" t="s">
        <v>125</v>
      </c>
      <c r="Z3" s="103" t="s">
        <v>126</v>
      </c>
    </row>
    <row r="4" spans="2:26">
      <c r="B4" s="121" t="s">
        <v>127</v>
      </c>
      <c r="C4" s="106">
        <f>SUM(C5:C28)</f>
        <v>3245.93</v>
      </c>
      <c r="D4" s="106">
        <f t="shared" ref="D4:Z4" si="0">SUM(D5:D28)</f>
        <v>5099.3700000000008</v>
      </c>
      <c r="E4" s="106">
        <f t="shared" si="0"/>
        <v>761.0200000000001</v>
      </c>
      <c r="F4" s="106">
        <f t="shared" si="0"/>
        <v>9106.32</v>
      </c>
      <c r="G4" s="106">
        <f t="shared" si="0"/>
        <v>3815.9000000000005</v>
      </c>
      <c r="H4" s="106">
        <f t="shared" si="0"/>
        <v>4119.91</v>
      </c>
      <c r="I4" s="106">
        <f t="shared" si="0"/>
        <v>7935.81</v>
      </c>
      <c r="J4" s="106">
        <f>AVERAGE(J5:J40)</f>
        <v>329.23086021505378</v>
      </c>
      <c r="K4" s="106">
        <f t="shared" ref="K4:L4" si="1">AVERAGE(K5:K40)</f>
        <v>350.8553763440861</v>
      </c>
      <c r="L4" s="106">
        <f t="shared" si="1"/>
        <v>2.4610483870967741</v>
      </c>
      <c r="M4" s="106">
        <f>AVERAGE(M5:M40)</f>
        <v>2.8026881720430104</v>
      </c>
      <c r="N4" s="106">
        <f t="shared" si="0"/>
        <v>3983.5199999999995</v>
      </c>
      <c r="O4" s="106">
        <f t="shared" si="0"/>
        <v>3288.96</v>
      </c>
      <c r="P4" s="106">
        <f t="shared" si="0"/>
        <v>694.55999999999983</v>
      </c>
      <c r="Q4" s="106">
        <f>IFERROR(O4/N4*100,0)</f>
        <v>82.564164357151469</v>
      </c>
      <c r="R4" s="106">
        <f t="shared" si="0"/>
        <v>88800</v>
      </c>
      <c r="S4" s="106">
        <f t="shared" si="0"/>
        <v>1536</v>
      </c>
      <c r="T4" s="106">
        <f t="shared" si="0"/>
        <v>11483</v>
      </c>
      <c r="U4" s="106">
        <f t="shared" si="0"/>
        <v>210</v>
      </c>
      <c r="V4" s="106">
        <f t="shared" si="0"/>
        <v>1554.2399999999998</v>
      </c>
      <c r="W4" s="106">
        <f t="shared" si="0"/>
        <v>2200</v>
      </c>
      <c r="X4" s="106">
        <f t="shared" si="0"/>
        <v>0</v>
      </c>
      <c r="Y4" s="106">
        <f t="shared" si="0"/>
        <v>388.52</v>
      </c>
      <c r="Z4" s="106">
        <f t="shared" si="0"/>
        <v>312.08</v>
      </c>
    </row>
    <row r="5" spans="2:26">
      <c r="B5" s="122" t="s">
        <v>164</v>
      </c>
      <c r="C5" s="11">
        <f>'每日填寫-115年數據'!C4</f>
        <v>3049.06</v>
      </c>
      <c r="D5" s="11">
        <f>'每日填寫-115年數據'!D4</f>
        <v>4855.2900000000009</v>
      </c>
      <c r="E5" s="11">
        <f>'每日填寫-115年數據'!E4</f>
        <v>719.28000000000009</v>
      </c>
      <c r="F5" s="11">
        <f>'每日填寫-115年數據'!F4</f>
        <v>8623.6299999999992</v>
      </c>
      <c r="G5" s="11">
        <f>'每日填寫-115年數據'!G4</f>
        <v>3690.0400000000004</v>
      </c>
      <c r="H5" s="11">
        <f>'每日填寫-115年數據'!H4</f>
        <v>3988.3099999999995</v>
      </c>
      <c r="I5" s="11">
        <f>'每日填寫-115年數據'!I4</f>
        <v>7678.35</v>
      </c>
      <c r="J5" s="11">
        <f>'每日填寫-115年數據'!J4</f>
        <v>1940.0003225806452</v>
      </c>
      <c r="K5" s="11">
        <f>'每日填寫-115年數據'!K4</f>
        <v>2086.2145161290323</v>
      </c>
      <c r="L5" s="11">
        <f>'每日填寫-115年數據'!L4</f>
        <v>14.202580645161289</v>
      </c>
      <c r="M5" s="11">
        <f>'每日填寫-115年數據'!M4</f>
        <v>16.522258064516127</v>
      </c>
      <c r="N5" s="11">
        <f>'每日填寫-115年數據'!N4</f>
        <v>3851.5199999999995</v>
      </c>
      <c r="O5" s="11">
        <f>'每日填寫-115年數據'!O4</f>
        <v>3180</v>
      </c>
      <c r="P5" s="11">
        <f>'每日填寫-115年數據'!P4</f>
        <v>671.51999999999987</v>
      </c>
      <c r="Q5" s="11">
        <f>'每日填寫-115年數據'!Q4</f>
        <v>82.564805583250262</v>
      </c>
      <c r="R5" s="11">
        <f>'每日填寫-115年數據'!R4</f>
        <v>85868</v>
      </c>
      <c r="S5" s="11">
        <f>'每日填寫-115年數據'!S4</f>
        <v>1488</v>
      </c>
      <c r="T5" s="11">
        <f>'每日填寫-115年數據'!T4</f>
        <v>11089</v>
      </c>
      <c r="U5" s="11">
        <f>'每日填寫-115年數據'!U4</f>
        <v>210</v>
      </c>
      <c r="V5" s="11">
        <f>'每日填寫-115年數據'!V4</f>
        <v>1498.5299999999997</v>
      </c>
      <c r="W5" s="11">
        <f>'每日填寫-115年數據'!W4</f>
        <v>2133</v>
      </c>
      <c r="X5" s="11">
        <f>'每日填寫-115年數據'!X4</f>
        <v>0</v>
      </c>
      <c r="Y5" s="11">
        <f>'每日填寫-115年數據'!Y4</f>
        <v>388.52</v>
      </c>
      <c r="Z5" s="11">
        <f>'每日填寫-115年數據'!Z4</f>
        <v>312.08</v>
      </c>
    </row>
    <row r="6" spans="2:26">
      <c r="B6" s="122" t="s">
        <v>165</v>
      </c>
      <c r="C6" s="11">
        <f>'每日填寫-115年數據'!C39</f>
        <v>196.87</v>
      </c>
      <c r="D6" s="11">
        <f>'每日填寫-115年數據'!D39</f>
        <v>244.08</v>
      </c>
      <c r="E6" s="11">
        <f>'每日填寫-115年數據'!E39</f>
        <v>41.74</v>
      </c>
      <c r="F6" s="11">
        <f>'每日填寫-115年數據'!F39</f>
        <v>482.69000000000005</v>
      </c>
      <c r="G6" s="11">
        <f>'每日填寫-115年數據'!G39</f>
        <v>125.86</v>
      </c>
      <c r="H6" s="11">
        <f>'每日填寫-115年數據'!H39</f>
        <v>131.6</v>
      </c>
      <c r="I6" s="11">
        <f>'每日填寫-115年數據'!I39</f>
        <v>257.45999999999998</v>
      </c>
      <c r="J6" s="11">
        <f>'每日填寫-115年數據'!J39</f>
        <v>2010.77</v>
      </c>
      <c r="K6" s="11">
        <f>'每日填寫-115年數據'!K39</f>
        <v>2124.0500000000002</v>
      </c>
      <c r="L6" s="11">
        <f>'每日填寫-115年數據'!L39</f>
        <v>15.33</v>
      </c>
      <c r="M6" s="11">
        <f>'每日填寫-115年數據'!M39</f>
        <v>17.11</v>
      </c>
      <c r="N6" s="11">
        <f>'每日填寫-115年數據'!N39</f>
        <v>132</v>
      </c>
      <c r="O6" s="11">
        <f>'每日填寫-115年數據'!O39</f>
        <v>108.96</v>
      </c>
      <c r="P6" s="11">
        <f>'每日填寫-115年數據'!P39</f>
        <v>23.04</v>
      </c>
      <c r="Q6" s="11">
        <f>'每日填寫-115年數據'!Q39</f>
        <v>82.545454545454547</v>
      </c>
      <c r="R6" s="11">
        <f>'每日填寫-115年數據'!R39</f>
        <v>2932</v>
      </c>
      <c r="S6" s="11">
        <f>'每日填寫-115年數據'!S39</f>
        <v>48</v>
      </c>
      <c r="T6" s="11">
        <f>'每日填寫-115年數據'!T39</f>
        <v>394</v>
      </c>
      <c r="U6" s="11">
        <f>'每日填寫-115年數據'!U39</f>
        <v>0</v>
      </c>
      <c r="V6" s="11">
        <f>'每日填寫-115年數據'!V39</f>
        <v>55.71</v>
      </c>
      <c r="W6" s="11">
        <f>'每日填寫-115年數據'!W39</f>
        <v>67</v>
      </c>
      <c r="X6" s="11">
        <f>'每日填寫-115年數據'!X39</f>
        <v>0</v>
      </c>
      <c r="Y6" s="11">
        <f>'每日填寫-115年數據'!Y39</f>
        <v>0</v>
      </c>
      <c r="Z6" s="11">
        <f>'每日填寫-115年數據'!Z39</f>
        <v>0</v>
      </c>
    </row>
    <row r="7" spans="2:26">
      <c r="B7" s="122" t="s">
        <v>166</v>
      </c>
      <c r="C7" s="11">
        <f>'每日填寫-115年數據'!C71</f>
        <v>0</v>
      </c>
      <c r="D7" s="11">
        <f>'每日填寫-115年數據'!D71</f>
        <v>0</v>
      </c>
      <c r="E7" s="11">
        <f>'每日填寫-115年數據'!E71</f>
        <v>0</v>
      </c>
      <c r="F7" s="11">
        <f>'每日填寫-115年數據'!F71</f>
        <v>0</v>
      </c>
      <c r="G7" s="11">
        <f>'每日填寫-115年數據'!G71</f>
        <v>0</v>
      </c>
      <c r="H7" s="11">
        <f>'每日填寫-115年數據'!H71</f>
        <v>0</v>
      </c>
      <c r="I7" s="11">
        <f>'每日填寫-115年數據'!I71</f>
        <v>0</v>
      </c>
      <c r="J7" s="11">
        <f>'每日填寫-115年數據'!J71</f>
        <v>0</v>
      </c>
      <c r="K7" s="11">
        <f>'每日填寫-115年數據'!K71</f>
        <v>0</v>
      </c>
      <c r="L7" s="11">
        <f>'每日填寫-115年數據'!L71</f>
        <v>0</v>
      </c>
      <c r="M7" s="11">
        <f>'每日填寫-115年數據'!M71</f>
        <v>0</v>
      </c>
      <c r="N7" s="11">
        <f>'每日填寫-115年數據'!N71</f>
        <v>0</v>
      </c>
      <c r="O7" s="11">
        <f>'每日填寫-115年數據'!O71</f>
        <v>0</v>
      </c>
      <c r="P7" s="11">
        <f>'每日填寫-115年數據'!P71</f>
        <v>0</v>
      </c>
      <c r="Q7" s="11">
        <f>'每日填寫-115年數據'!Q71</f>
        <v>0</v>
      </c>
      <c r="R7" s="11">
        <f>'每日填寫-115年數據'!R71</f>
        <v>0</v>
      </c>
      <c r="S7" s="11">
        <f>'每日填寫-115年數據'!S71</f>
        <v>0</v>
      </c>
      <c r="T7" s="11">
        <f>'每日填寫-115年數據'!T71</f>
        <v>0</v>
      </c>
      <c r="U7" s="11">
        <f>'每日填寫-115年數據'!U71</f>
        <v>0</v>
      </c>
      <c r="V7" s="11">
        <f>'每日填寫-115年數據'!V71</f>
        <v>0</v>
      </c>
      <c r="W7" s="11">
        <f>'每日填寫-115年數據'!W71</f>
        <v>0</v>
      </c>
      <c r="X7" s="11">
        <f>'每日填寫-115年數據'!X71</f>
        <v>0</v>
      </c>
      <c r="Y7" s="11">
        <f>'每日填寫-115年數據'!Y71</f>
        <v>0</v>
      </c>
      <c r="Z7" s="11">
        <f>'每日填寫-115年數據'!Z71</f>
        <v>0</v>
      </c>
    </row>
    <row r="8" spans="2:26">
      <c r="B8" s="122" t="s">
        <v>167</v>
      </c>
      <c r="C8" s="11">
        <f>'每日填寫-115年數據'!C106</f>
        <v>0</v>
      </c>
      <c r="D8" s="11">
        <f>'每日填寫-115年數據'!D106</f>
        <v>0</v>
      </c>
      <c r="E8" s="11">
        <f>'每日填寫-115年數據'!E106</f>
        <v>0</v>
      </c>
      <c r="F8" s="11">
        <f>'每日填寫-115年數據'!F106</f>
        <v>0</v>
      </c>
      <c r="G8" s="11">
        <f>'每日填寫-115年數據'!G106</f>
        <v>0</v>
      </c>
      <c r="H8" s="11">
        <f>'每日填寫-115年數據'!H106</f>
        <v>0</v>
      </c>
      <c r="I8" s="11">
        <f>'每日填寫-115年數據'!I106</f>
        <v>0</v>
      </c>
      <c r="J8" s="11">
        <f>'每日填寫-115年數據'!J106</f>
        <v>0</v>
      </c>
      <c r="K8" s="11">
        <f>'每日填寫-115年數據'!K106</f>
        <v>0</v>
      </c>
      <c r="L8" s="11">
        <f>'每日填寫-115年數據'!L106</f>
        <v>0</v>
      </c>
      <c r="M8" s="11">
        <f>'每日填寫-115年數據'!M106</f>
        <v>0</v>
      </c>
      <c r="N8" s="11">
        <f>'每日填寫-115年數據'!N106</f>
        <v>0</v>
      </c>
      <c r="O8" s="11">
        <f>'每日填寫-115年數據'!O106</f>
        <v>0</v>
      </c>
      <c r="P8" s="11">
        <f>'每日填寫-115年數據'!P106</f>
        <v>0</v>
      </c>
      <c r="Q8" s="11">
        <f>'每日填寫-115年數據'!Q106</f>
        <v>0</v>
      </c>
      <c r="R8" s="11">
        <f>'每日填寫-115年數據'!R106</f>
        <v>0</v>
      </c>
      <c r="S8" s="11">
        <f>'每日填寫-115年數據'!S106</f>
        <v>0</v>
      </c>
      <c r="T8" s="11">
        <f>'每日填寫-115年數據'!T106</f>
        <v>0</v>
      </c>
      <c r="U8" s="11">
        <f>'每日填寫-115年數據'!U106</f>
        <v>0</v>
      </c>
      <c r="V8" s="11">
        <f>'每日填寫-115年數據'!V106</f>
        <v>0</v>
      </c>
      <c r="W8" s="11">
        <f>'每日填寫-115年數據'!W106</f>
        <v>0</v>
      </c>
      <c r="X8" s="11">
        <f>'每日填寫-115年數據'!X106</f>
        <v>0</v>
      </c>
      <c r="Y8" s="11">
        <f>'每日填寫-115年數據'!Y106</f>
        <v>0</v>
      </c>
      <c r="Z8" s="11">
        <f>'每日填寫-115年數據'!Z106</f>
        <v>0</v>
      </c>
    </row>
    <row r="9" spans="2:26">
      <c r="B9" s="122" t="s">
        <v>168</v>
      </c>
      <c r="C9" s="11">
        <f>'每日填寫-115年數據'!C140</f>
        <v>0</v>
      </c>
      <c r="D9" s="11">
        <f>'每日填寫-115年數據'!D140</f>
        <v>0</v>
      </c>
      <c r="E9" s="11">
        <f>'每日填寫-115年數據'!E140</f>
        <v>0</v>
      </c>
      <c r="F9" s="11">
        <f>'每日填寫-115年數據'!F140</f>
        <v>0</v>
      </c>
      <c r="G9" s="11">
        <f>'每日填寫-115年數據'!G140</f>
        <v>0</v>
      </c>
      <c r="H9" s="11">
        <f>'每日填寫-115年數據'!H140</f>
        <v>0</v>
      </c>
      <c r="I9" s="11">
        <f>'每日填寫-115年數據'!I140</f>
        <v>0</v>
      </c>
      <c r="J9" s="11">
        <f>'每日填寫-115年數據'!J140</f>
        <v>0</v>
      </c>
      <c r="K9" s="11">
        <f>'每日填寫-115年數據'!K140</f>
        <v>0</v>
      </c>
      <c r="L9" s="11">
        <f>'每日填寫-115年數據'!L140</f>
        <v>0</v>
      </c>
      <c r="M9" s="11">
        <f>'每日填寫-115年數據'!M140</f>
        <v>0</v>
      </c>
      <c r="N9" s="11">
        <f>'每日填寫-115年數據'!N140</f>
        <v>0</v>
      </c>
      <c r="O9" s="11">
        <f>'每日填寫-115年數據'!O140</f>
        <v>0</v>
      </c>
      <c r="P9" s="11">
        <f>'每日填寫-115年數據'!P140</f>
        <v>0</v>
      </c>
      <c r="Q9" s="11">
        <f>'每日填寫-115年數據'!Q140</f>
        <v>0</v>
      </c>
      <c r="R9" s="11">
        <f>'每日填寫-115年數據'!R140</f>
        <v>0</v>
      </c>
      <c r="S9" s="11">
        <f>'每日填寫-115年數據'!S140</f>
        <v>0</v>
      </c>
      <c r="T9" s="11">
        <f>'每日填寫-115年數據'!T140</f>
        <v>0</v>
      </c>
      <c r="U9" s="11">
        <f>'每日填寫-115年數據'!U140</f>
        <v>0</v>
      </c>
      <c r="V9" s="11">
        <f>'每日填寫-115年數據'!V140</f>
        <v>0</v>
      </c>
      <c r="W9" s="11">
        <f>'每日填寫-115年數據'!W140</f>
        <v>0</v>
      </c>
      <c r="X9" s="11">
        <f>'每日填寫-115年數據'!X140</f>
        <v>0</v>
      </c>
      <c r="Y9" s="11">
        <f>'每日填寫-115年數據'!Y140</f>
        <v>0</v>
      </c>
      <c r="Z9" s="11">
        <f>'每日填寫-115年數據'!Z140</f>
        <v>0</v>
      </c>
    </row>
    <row r="10" spans="2:26">
      <c r="B10" s="122" t="s">
        <v>169</v>
      </c>
      <c r="C10" s="11">
        <f>'每日填寫-115年數據'!C175</f>
        <v>0</v>
      </c>
      <c r="D10" s="11">
        <f>'每日填寫-115年數據'!D175</f>
        <v>0</v>
      </c>
      <c r="E10" s="11">
        <f>'每日填寫-115年數據'!E175</f>
        <v>0</v>
      </c>
      <c r="F10" s="11">
        <f>'每日填寫-115年數據'!F175</f>
        <v>0</v>
      </c>
      <c r="G10" s="11">
        <f>'每日填寫-115年數據'!G175</f>
        <v>0</v>
      </c>
      <c r="H10" s="11">
        <f>'每日填寫-115年數據'!H175</f>
        <v>0</v>
      </c>
      <c r="I10" s="11">
        <f>'每日填寫-115年數據'!I175</f>
        <v>0</v>
      </c>
      <c r="J10" s="11">
        <f>'每日填寫-115年數據'!J175</f>
        <v>0</v>
      </c>
      <c r="K10" s="11">
        <f>'每日填寫-115年數據'!K175</f>
        <v>0</v>
      </c>
      <c r="L10" s="11">
        <f>'每日填寫-115年數據'!L175</f>
        <v>0</v>
      </c>
      <c r="M10" s="11">
        <f>'每日填寫-115年數據'!M175</f>
        <v>0</v>
      </c>
      <c r="N10" s="11">
        <f>'每日填寫-115年數據'!N175</f>
        <v>0</v>
      </c>
      <c r="O10" s="11">
        <f>'每日填寫-115年數據'!O175</f>
        <v>0</v>
      </c>
      <c r="P10" s="11">
        <f>'每日填寫-115年數據'!P175</f>
        <v>0</v>
      </c>
      <c r="Q10" s="11">
        <f>'每日填寫-115年數據'!Q175</f>
        <v>0</v>
      </c>
      <c r="R10" s="11">
        <f>'每日填寫-115年數據'!R175</f>
        <v>0</v>
      </c>
      <c r="S10" s="11">
        <f>'每日填寫-115年數據'!S175</f>
        <v>0</v>
      </c>
      <c r="T10" s="11">
        <f>'每日填寫-115年數據'!T175</f>
        <v>0</v>
      </c>
      <c r="U10" s="11">
        <f>'每日填寫-115年數據'!U175</f>
        <v>0</v>
      </c>
      <c r="V10" s="11">
        <f>'每日填寫-115年數據'!V175</f>
        <v>0</v>
      </c>
      <c r="W10" s="11">
        <f>'每日填寫-115年數據'!W175</f>
        <v>0</v>
      </c>
      <c r="X10" s="11">
        <f>'每日填寫-115年數據'!X175</f>
        <v>0</v>
      </c>
      <c r="Y10" s="11">
        <f>'每日填寫-115年數據'!Y175</f>
        <v>0</v>
      </c>
      <c r="Z10" s="11">
        <f>'每日填寫-115年數據'!Z175</f>
        <v>0</v>
      </c>
    </row>
    <row r="11" spans="2:26">
      <c r="B11" s="122" t="s">
        <v>170</v>
      </c>
      <c r="C11" s="11">
        <f>'每日填寫-115年數據'!C209</f>
        <v>0</v>
      </c>
      <c r="D11" s="11">
        <f>'每日填寫-115年數據'!D209</f>
        <v>0</v>
      </c>
      <c r="E11" s="11">
        <f>'每日填寫-115年數據'!E209</f>
        <v>0</v>
      </c>
      <c r="F11" s="11">
        <f>'每日填寫-115年數據'!F209</f>
        <v>0</v>
      </c>
      <c r="G11" s="11">
        <f>'每日填寫-115年數據'!G209</f>
        <v>0</v>
      </c>
      <c r="H11" s="11">
        <f>'每日填寫-115年數據'!H209</f>
        <v>0</v>
      </c>
      <c r="I11" s="11">
        <f>'每日填寫-115年數據'!I209</f>
        <v>0</v>
      </c>
      <c r="J11" s="11">
        <f>'每日填寫-115年數據'!J209</f>
        <v>0</v>
      </c>
      <c r="K11" s="11">
        <f>'每日填寫-115年數據'!K209</f>
        <v>0</v>
      </c>
      <c r="L11" s="11">
        <f>'每日填寫-115年數據'!L209</f>
        <v>0</v>
      </c>
      <c r="M11" s="11">
        <f>'每日填寫-115年數據'!M209</f>
        <v>0</v>
      </c>
      <c r="N11" s="11">
        <f>'每日填寫-115年數據'!N209</f>
        <v>0</v>
      </c>
      <c r="O11" s="11">
        <f>'每日填寫-115年數據'!O209</f>
        <v>0</v>
      </c>
      <c r="P11" s="11">
        <f>'每日填寫-115年數據'!P209</f>
        <v>0</v>
      </c>
      <c r="Q11" s="11">
        <f>'每日填寫-115年數據'!Q209</f>
        <v>0</v>
      </c>
      <c r="R11" s="11">
        <f>'每日填寫-115年數據'!R209</f>
        <v>0</v>
      </c>
      <c r="S11" s="11">
        <f>'每日填寫-115年數據'!S209</f>
        <v>0</v>
      </c>
      <c r="T11" s="11">
        <f>'每日填寫-115年數據'!T209</f>
        <v>0</v>
      </c>
      <c r="U11" s="11">
        <f>'每日填寫-115年數據'!U209</f>
        <v>0</v>
      </c>
      <c r="V11" s="11">
        <f>'每日填寫-115年數據'!V209</f>
        <v>0</v>
      </c>
      <c r="W11" s="11">
        <f>'每日填寫-115年數據'!W209</f>
        <v>0</v>
      </c>
      <c r="X11" s="11">
        <f>'每日填寫-115年數據'!X209</f>
        <v>0</v>
      </c>
      <c r="Y11" s="11">
        <f>'每日填寫-115年數據'!Y209</f>
        <v>0</v>
      </c>
      <c r="Z11" s="11">
        <f>'每日填寫-115年數據'!Z209</f>
        <v>0</v>
      </c>
    </row>
    <row r="12" spans="2:26">
      <c r="B12" s="122" t="s">
        <v>171</v>
      </c>
      <c r="C12" s="11">
        <f>'每日填寫-115年數據'!C244</f>
        <v>0</v>
      </c>
      <c r="D12" s="11">
        <f>'每日填寫-115年數據'!D244</f>
        <v>0</v>
      </c>
      <c r="E12" s="11">
        <f>'每日填寫-115年數據'!E244</f>
        <v>0</v>
      </c>
      <c r="F12" s="11">
        <f>'每日填寫-115年數據'!F244</f>
        <v>0</v>
      </c>
      <c r="G12" s="11">
        <f>'每日填寫-115年數據'!G244</f>
        <v>0</v>
      </c>
      <c r="H12" s="11">
        <f>'每日填寫-115年數據'!H244</f>
        <v>0</v>
      </c>
      <c r="I12" s="11">
        <f>'每日填寫-115年數據'!I244</f>
        <v>0</v>
      </c>
      <c r="J12" s="11">
        <f>'每日填寫-115年數據'!J244</f>
        <v>0</v>
      </c>
      <c r="K12" s="11">
        <f>'每日填寫-115年數據'!K244</f>
        <v>0</v>
      </c>
      <c r="L12" s="11">
        <f>'每日填寫-115年數據'!L244</f>
        <v>0</v>
      </c>
      <c r="M12" s="11">
        <f>'每日填寫-115年數據'!M244</f>
        <v>0</v>
      </c>
      <c r="N12" s="11">
        <f>'每日填寫-115年數據'!N244</f>
        <v>0</v>
      </c>
      <c r="O12" s="11">
        <f>'每日填寫-115年數據'!O244</f>
        <v>0</v>
      </c>
      <c r="P12" s="11">
        <f>'每日填寫-115年數據'!P244</f>
        <v>0</v>
      </c>
      <c r="Q12" s="11">
        <f>'每日填寫-115年數據'!Q244</f>
        <v>0</v>
      </c>
      <c r="R12" s="11">
        <f>'每日填寫-115年數據'!R244</f>
        <v>0</v>
      </c>
      <c r="S12" s="11">
        <f>'每日填寫-115年數據'!S244</f>
        <v>0</v>
      </c>
      <c r="T12" s="11">
        <f>'每日填寫-115年數據'!T244</f>
        <v>0</v>
      </c>
      <c r="U12" s="11">
        <f>'每日填寫-115年數據'!U244</f>
        <v>0</v>
      </c>
      <c r="V12" s="11">
        <f>'每日填寫-115年數據'!V244</f>
        <v>0</v>
      </c>
      <c r="W12" s="11">
        <f>'每日填寫-115年數據'!W244</f>
        <v>0</v>
      </c>
      <c r="X12" s="11">
        <f>'每日填寫-115年數據'!X244</f>
        <v>0</v>
      </c>
      <c r="Y12" s="11">
        <f>'每日填寫-115年數據'!Y244</f>
        <v>0</v>
      </c>
      <c r="Z12" s="11">
        <f>'每日填寫-115年數據'!Z244</f>
        <v>0</v>
      </c>
    </row>
    <row r="13" spans="2:26">
      <c r="B13" s="122" t="s">
        <v>172</v>
      </c>
      <c r="C13" s="11">
        <f>'每日填寫-115年數據'!C279</f>
        <v>0</v>
      </c>
      <c r="D13" s="11">
        <f>'每日填寫-115年數據'!D279</f>
        <v>0</v>
      </c>
      <c r="E13" s="11">
        <f>'每日填寫-115年數據'!E279</f>
        <v>0</v>
      </c>
      <c r="F13" s="11">
        <f>'每日填寫-115年數據'!F279</f>
        <v>0</v>
      </c>
      <c r="G13" s="11">
        <f>'每日填寫-115年數據'!G279</f>
        <v>0</v>
      </c>
      <c r="H13" s="11">
        <f>'每日填寫-115年數據'!H279</f>
        <v>0</v>
      </c>
      <c r="I13" s="11">
        <f>'每日填寫-115年數據'!I279</f>
        <v>0</v>
      </c>
      <c r="J13" s="11">
        <f>'每日填寫-115年數據'!J279</f>
        <v>0</v>
      </c>
      <c r="K13" s="11">
        <f>'每日填寫-115年數據'!K279</f>
        <v>0</v>
      </c>
      <c r="L13" s="11">
        <f>'每日填寫-115年數據'!L279</f>
        <v>0</v>
      </c>
      <c r="M13" s="11">
        <f>'每日填寫-115年數據'!M279</f>
        <v>0</v>
      </c>
      <c r="N13" s="11">
        <f>'每日填寫-115年數據'!N279</f>
        <v>0</v>
      </c>
      <c r="O13" s="11">
        <f>'每日填寫-115年數據'!O279</f>
        <v>0</v>
      </c>
      <c r="P13" s="11">
        <f>'每日填寫-115年數據'!P279</f>
        <v>0</v>
      </c>
      <c r="Q13" s="11">
        <f>'每日填寫-115年數據'!Q279</f>
        <v>0</v>
      </c>
      <c r="R13" s="11">
        <f>'每日填寫-115年數據'!R279</f>
        <v>0</v>
      </c>
      <c r="S13" s="11">
        <f>'每日填寫-115年數據'!S279</f>
        <v>0</v>
      </c>
      <c r="T13" s="11">
        <f>'每日填寫-115年數據'!T279</f>
        <v>0</v>
      </c>
      <c r="U13" s="11">
        <f>'每日填寫-115年數據'!U279</f>
        <v>0</v>
      </c>
      <c r="V13" s="11">
        <f>'每日填寫-115年數據'!V279</f>
        <v>0</v>
      </c>
      <c r="W13" s="11">
        <f>'每日填寫-115年數據'!W279</f>
        <v>0</v>
      </c>
      <c r="X13" s="11">
        <f>'每日填寫-115年數據'!X279</f>
        <v>0</v>
      </c>
      <c r="Y13" s="11">
        <f>'每日填寫-115年數據'!Y279</f>
        <v>0</v>
      </c>
      <c r="Z13" s="11">
        <f>'每日填寫-115年數據'!Z279</f>
        <v>0</v>
      </c>
    </row>
    <row r="14" spans="2:26">
      <c r="B14" s="122" t="s">
        <v>173</v>
      </c>
      <c r="C14" s="11">
        <f>'每日填寫-115年數據'!C313</f>
        <v>0</v>
      </c>
      <c r="D14" s="11">
        <f>'每日填寫-115年數據'!D313</f>
        <v>0</v>
      </c>
      <c r="E14" s="11">
        <f>'每日填寫-115年數據'!E313</f>
        <v>0</v>
      </c>
      <c r="F14" s="11">
        <f>'每日填寫-115年數據'!F313</f>
        <v>0</v>
      </c>
      <c r="G14" s="11">
        <f>'每日填寫-115年數據'!G313</f>
        <v>0</v>
      </c>
      <c r="H14" s="11">
        <f>'每日填寫-115年數據'!H313</f>
        <v>0</v>
      </c>
      <c r="I14" s="11">
        <f>'每日填寫-115年數據'!I313</f>
        <v>0</v>
      </c>
      <c r="J14" s="11">
        <f>'每日填寫-115年數據'!J313</f>
        <v>0</v>
      </c>
      <c r="K14" s="11">
        <f>'每日填寫-115年數據'!K313</f>
        <v>0</v>
      </c>
      <c r="L14" s="11">
        <f>'每日填寫-115年數據'!L313</f>
        <v>0</v>
      </c>
      <c r="M14" s="11">
        <f>'每日填寫-115年數據'!M313</f>
        <v>0</v>
      </c>
      <c r="N14" s="11">
        <f>'每日填寫-115年數據'!N313</f>
        <v>0</v>
      </c>
      <c r="O14" s="11">
        <f>'每日填寫-115年數據'!O313</f>
        <v>0</v>
      </c>
      <c r="P14" s="11">
        <f>'每日填寫-115年數據'!P313</f>
        <v>0</v>
      </c>
      <c r="Q14" s="11">
        <f>'每日填寫-115年數據'!Q313</f>
        <v>0</v>
      </c>
      <c r="R14" s="11">
        <f>'每日填寫-115年數據'!R313</f>
        <v>0</v>
      </c>
      <c r="S14" s="11">
        <f>'每日填寫-115年數據'!S313</f>
        <v>0</v>
      </c>
      <c r="T14" s="11">
        <f>'每日填寫-115年數據'!T313</f>
        <v>0</v>
      </c>
      <c r="U14" s="11">
        <f>'每日填寫-115年數據'!U313</f>
        <v>0</v>
      </c>
      <c r="V14" s="11">
        <f>'每日填寫-115年數據'!V313</f>
        <v>0</v>
      </c>
      <c r="W14" s="11">
        <f>'每日填寫-115年數據'!W313</f>
        <v>0</v>
      </c>
      <c r="X14" s="11">
        <f>'每日填寫-115年數據'!X313</f>
        <v>0</v>
      </c>
      <c r="Y14" s="11">
        <f>'每日填寫-115年數據'!Y313</f>
        <v>0</v>
      </c>
      <c r="Z14" s="11">
        <f>'每日填寫-115年數據'!Z313</f>
        <v>0</v>
      </c>
    </row>
    <row r="15" spans="2:26">
      <c r="B15" s="122" t="s">
        <v>174</v>
      </c>
      <c r="C15" s="11">
        <f>'每日填寫-115年數據'!C348</f>
        <v>0</v>
      </c>
      <c r="D15" s="11">
        <f>'每日填寫-115年數據'!D348</f>
        <v>0</v>
      </c>
      <c r="E15" s="11">
        <f>'每日填寫-115年數據'!E348</f>
        <v>0</v>
      </c>
      <c r="F15" s="11">
        <f>'每日填寫-115年數據'!F348</f>
        <v>0</v>
      </c>
      <c r="G15" s="11">
        <f>'每日填寫-115年數據'!G348</f>
        <v>0</v>
      </c>
      <c r="H15" s="11">
        <f>'每日填寫-115年數據'!H348</f>
        <v>0</v>
      </c>
      <c r="I15" s="11">
        <f>'每日填寫-115年數據'!I348</f>
        <v>0</v>
      </c>
      <c r="J15" s="11">
        <f>'每日填寫-115年數據'!J348</f>
        <v>0</v>
      </c>
      <c r="K15" s="11">
        <f>'每日填寫-115年數據'!K348</f>
        <v>0</v>
      </c>
      <c r="L15" s="11">
        <f>'每日填寫-115年數據'!L348</f>
        <v>0</v>
      </c>
      <c r="M15" s="11">
        <f>'每日填寫-115年數據'!M348</f>
        <v>0</v>
      </c>
      <c r="N15" s="11">
        <f>'每日填寫-115年數據'!N348</f>
        <v>0</v>
      </c>
      <c r="O15" s="11">
        <f>'每日填寫-115年數據'!O348</f>
        <v>0</v>
      </c>
      <c r="P15" s="11">
        <f>'每日填寫-115年數據'!P348</f>
        <v>0</v>
      </c>
      <c r="Q15" s="11">
        <f>'每日填寫-115年數據'!Q348</f>
        <v>0</v>
      </c>
      <c r="R15" s="11">
        <f>'每日填寫-115年數據'!R348</f>
        <v>0</v>
      </c>
      <c r="S15" s="11">
        <f>'每日填寫-115年數據'!S348</f>
        <v>0</v>
      </c>
      <c r="T15" s="11">
        <f>'每日填寫-115年數據'!T348</f>
        <v>0</v>
      </c>
      <c r="U15" s="11">
        <f>'每日填寫-115年數據'!U348</f>
        <v>0</v>
      </c>
      <c r="V15" s="11">
        <f>'每日填寫-115年數據'!V348</f>
        <v>0</v>
      </c>
      <c r="W15" s="11">
        <f>'每日填寫-115年數據'!W348</f>
        <v>0</v>
      </c>
      <c r="X15" s="11">
        <f>'每日填寫-115年數據'!X348</f>
        <v>0</v>
      </c>
      <c r="Y15" s="11">
        <f>'每日填寫-115年數據'!Y348</f>
        <v>0</v>
      </c>
      <c r="Z15" s="11">
        <f>'每日填寫-115年數據'!Z348</f>
        <v>0</v>
      </c>
    </row>
    <row r="16" spans="2:26">
      <c r="B16" s="122" t="s">
        <v>175</v>
      </c>
      <c r="C16" s="11">
        <f>'每日填寫-115年數據'!C382</f>
        <v>0</v>
      </c>
      <c r="D16" s="11">
        <f>'每日填寫-115年數據'!D382</f>
        <v>0</v>
      </c>
      <c r="E16" s="11">
        <f>'每日填寫-115年數據'!E382</f>
        <v>0</v>
      </c>
      <c r="F16" s="11">
        <f>'每日填寫-115年數據'!F382</f>
        <v>0</v>
      </c>
      <c r="G16" s="11">
        <f>'每日填寫-115年數據'!G382</f>
        <v>0</v>
      </c>
      <c r="H16" s="11">
        <f>'每日填寫-115年數據'!H382</f>
        <v>0</v>
      </c>
      <c r="I16" s="11">
        <f>'每日填寫-115年數據'!I382</f>
        <v>0</v>
      </c>
      <c r="J16" s="11">
        <f>'每日填寫-115年數據'!J382</f>
        <v>0</v>
      </c>
      <c r="K16" s="11">
        <f>'每日填寫-115年數據'!K382</f>
        <v>0</v>
      </c>
      <c r="L16" s="11">
        <f>'每日填寫-115年數據'!L382</f>
        <v>0</v>
      </c>
      <c r="M16" s="11">
        <f>'每日填寫-115年數據'!M382</f>
        <v>0</v>
      </c>
      <c r="N16" s="11">
        <f>'每日填寫-115年數據'!N382</f>
        <v>0</v>
      </c>
      <c r="O16" s="11">
        <f>'每日填寫-115年數據'!O382</f>
        <v>0</v>
      </c>
      <c r="P16" s="11">
        <f>'每日填寫-115年數據'!P382</f>
        <v>0</v>
      </c>
      <c r="Q16" s="11">
        <f>'每日填寫-115年數據'!Q382</f>
        <v>0</v>
      </c>
      <c r="R16" s="11">
        <f>'每日填寫-115年數據'!R382</f>
        <v>0</v>
      </c>
      <c r="S16" s="11">
        <f>'每日填寫-115年數據'!S382</f>
        <v>0</v>
      </c>
      <c r="T16" s="11">
        <f>'每日填寫-115年數據'!T382</f>
        <v>0</v>
      </c>
      <c r="U16" s="11">
        <f>'每日填寫-115年數據'!U382</f>
        <v>0</v>
      </c>
      <c r="V16" s="11">
        <f>'每日填寫-115年數據'!V382</f>
        <v>0</v>
      </c>
      <c r="W16" s="11">
        <f>'每日填寫-115年數據'!W382</f>
        <v>0</v>
      </c>
      <c r="X16" s="11">
        <f>'每日填寫-115年數據'!X382</f>
        <v>0</v>
      </c>
      <c r="Y16" s="11">
        <f>'每日填寫-115年數據'!Y382</f>
        <v>0</v>
      </c>
      <c r="Z16" s="11">
        <f>'每日填寫-115年數據'!Z382</f>
        <v>0</v>
      </c>
    </row>
  </sheetData>
  <mergeCells count="8">
    <mergeCell ref="U2:X2"/>
    <mergeCell ref="Y2:Z2"/>
    <mergeCell ref="C2:F2"/>
    <mergeCell ref="G2:I2"/>
    <mergeCell ref="J2:K2"/>
    <mergeCell ref="L2:M2"/>
    <mergeCell ref="N2:Q2"/>
    <mergeCell ref="R2:T2"/>
  </mergeCells>
  <phoneticPr fontId="1" type="noConversion"/>
  <pageMargins left="0.7" right="0.7" top="0.75" bottom="0.75" header="0.3" footer="0.3"/>
  <ignoredErrors>
    <ignoredError sqref="Q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413"/>
  <sheetViews>
    <sheetView tabSelected="1" topLeftCell="A10" zoomScale="70" zoomScaleNormal="70" workbookViewId="0">
      <pane xSplit="2" topLeftCell="C1" activePane="topRight" state="frozen"/>
      <selection pane="topRight" activeCell="E42" sqref="E42"/>
    </sheetView>
  </sheetViews>
  <sheetFormatPr defaultRowHeight="16.5"/>
  <cols>
    <col min="2" max="2" width="10.375" customWidth="1"/>
    <col min="3" max="4" width="10.5" bestFit="1" customWidth="1"/>
    <col min="5" max="5" width="9.125" bestFit="1" customWidth="1"/>
    <col min="6" max="6" width="14" customWidth="1"/>
    <col min="7" max="9" width="10.5" bestFit="1" customWidth="1"/>
    <col min="10" max="10" width="10.75" customWidth="1"/>
    <col min="11" max="11" width="10.5" customWidth="1"/>
    <col min="12" max="12" width="9.625" customWidth="1"/>
    <col min="13" max="13" width="10" customWidth="1"/>
    <col min="14" max="15" width="10.5" customWidth="1"/>
    <col min="16" max="16" width="12.625" customWidth="1"/>
    <col min="17" max="17" width="10.625" customWidth="1"/>
    <col min="18" max="18" width="11.25" customWidth="1"/>
    <col min="19" max="19" width="10.5" customWidth="1"/>
    <col min="20" max="20" width="12" customWidth="1"/>
    <col min="21" max="22" width="14.25" bestFit="1" customWidth="1"/>
    <col min="23" max="23" width="20.75" customWidth="1"/>
    <col min="24" max="24" width="10.375" customWidth="1"/>
    <col min="25" max="25" width="13.75" customWidth="1"/>
    <col min="26" max="26" width="14.5" customWidth="1"/>
    <col min="27" max="27" width="39.75" customWidth="1"/>
    <col min="28" max="28" width="29.5" customWidth="1"/>
  </cols>
  <sheetData>
    <row r="1" spans="2:27" ht="17.25" thickBot="1"/>
    <row r="2" spans="2:27" ht="27" customHeight="1" thickBot="1">
      <c r="B2" s="217"/>
      <c r="C2" s="196" t="s">
        <v>68</v>
      </c>
      <c r="D2" s="197"/>
      <c r="E2" s="197"/>
      <c r="F2" s="198"/>
      <c r="G2" s="199" t="s">
        <v>67</v>
      </c>
      <c r="H2" s="200"/>
      <c r="I2" s="201"/>
      <c r="J2" s="196" t="s">
        <v>66</v>
      </c>
      <c r="K2" s="198"/>
      <c r="L2" s="202" t="s">
        <v>65</v>
      </c>
      <c r="M2" s="198"/>
      <c r="N2" s="203" t="s">
        <v>64</v>
      </c>
      <c r="O2" s="204"/>
      <c r="P2" s="204"/>
      <c r="Q2" s="205"/>
      <c r="R2" s="196" t="s">
        <v>63</v>
      </c>
      <c r="S2" s="197"/>
      <c r="T2" s="198"/>
      <c r="U2" s="196" t="s">
        <v>62</v>
      </c>
      <c r="V2" s="197"/>
      <c r="W2" s="197"/>
      <c r="X2" s="198"/>
      <c r="Y2" s="196" t="s">
        <v>61</v>
      </c>
      <c r="Z2" s="216"/>
      <c r="AA2" s="192" t="s">
        <v>49</v>
      </c>
    </row>
    <row r="3" spans="2:27" ht="27" customHeight="1" thickBot="1">
      <c r="B3" s="195"/>
      <c r="C3" s="25" t="s">
        <v>48</v>
      </c>
      <c r="D3" s="27" t="s">
        <v>47</v>
      </c>
      <c r="E3" s="27" t="s">
        <v>46</v>
      </c>
      <c r="F3" s="26" t="s">
        <v>45</v>
      </c>
      <c r="G3" s="25" t="s">
        <v>43</v>
      </c>
      <c r="H3" s="27" t="s">
        <v>42</v>
      </c>
      <c r="I3" s="26" t="s">
        <v>44</v>
      </c>
      <c r="J3" s="25" t="s">
        <v>43</v>
      </c>
      <c r="K3" s="26" t="s">
        <v>42</v>
      </c>
      <c r="L3" s="25" t="s">
        <v>43</v>
      </c>
      <c r="M3" s="26" t="s">
        <v>42</v>
      </c>
      <c r="N3" s="31" t="s">
        <v>41</v>
      </c>
      <c r="O3" s="30" t="s">
        <v>40</v>
      </c>
      <c r="P3" s="30" t="s">
        <v>39</v>
      </c>
      <c r="Q3" s="29" t="s">
        <v>38</v>
      </c>
      <c r="R3" s="108" t="s">
        <v>143</v>
      </c>
      <c r="S3" s="107" t="s">
        <v>144</v>
      </c>
      <c r="T3" s="26" t="s">
        <v>37</v>
      </c>
      <c r="U3" s="25" t="s">
        <v>36</v>
      </c>
      <c r="V3" s="28" t="s">
        <v>35</v>
      </c>
      <c r="W3" s="27" t="s">
        <v>34</v>
      </c>
      <c r="X3" s="26" t="s">
        <v>33</v>
      </c>
      <c r="Y3" s="25" t="s">
        <v>32</v>
      </c>
      <c r="Z3" s="35" t="s">
        <v>31</v>
      </c>
      <c r="AA3" s="193"/>
    </row>
    <row r="4" spans="2:27" ht="20.25" customHeight="1" thickBot="1">
      <c r="B4" s="23" t="s">
        <v>73</v>
      </c>
      <c r="C4" s="20">
        <f t="shared" ref="C4:I4" si="0">SUM(C5:C35)</f>
        <v>3049.06</v>
      </c>
      <c r="D4" s="22">
        <f t="shared" si="0"/>
        <v>4855.2900000000009</v>
      </c>
      <c r="E4" s="22">
        <f t="shared" si="0"/>
        <v>719.28000000000009</v>
      </c>
      <c r="F4" s="21">
        <f t="shared" si="0"/>
        <v>8623.6299999999992</v>
      </c>
      <c r="G4" s="20">
        <f t="shared" si="0"/>
        <v>3690.0400000000004</v>
      </c>
      <c r="H4" s="22">
        <f t="shared" si="0"/>
        <v>3988.3099999999995</v>
      </c>
      <c r="I4" s="21">
        <f t="shared" si="0"/>
        <v>7678.35</v>
      </c>
      <c r="J4" s="20">
        <f>IFERROR(AVERAGE(J5:J35),0)</f>
        <v>1940.0003225806452</v>
      </c>
      <c r="K4" s="21">
        <f>IFERROR(AVERAGE(K5:K35),0)</f>
        <v>2086.2145161290323</v>
      </c>
      <c r="L4" s="20">
        <f>IFERROR(AVERAGE(L5:L35),0)</f>
        <v>14.202580645161289</v>
      </c>
      <c r="M4" s="21">
        <f>IFERROR(AVERAGE(M5:M35),0)</f>
        <v>16.522258064516127</v>
      </c>
      <c r="N4" s="20">
        <f>SUM(N5:N35)</f>
        <v>3851.5199999999995</v>
      </c>
      <c r="O4" s="22">
        <f>SUM(O5:O35)</f>
        <v>3180</v>
      </c>
      <c r="P4" s="22">
        <f>SUM(P5:P35)</f>
        <v>671.51999999999987</v>
      </c>
      <c r="Q4" s="21">
        <f>IFERROR(O4/N4*100,0)</f>
        <v>82.564805583250262</v>
      </c>
      <c r="R4" s="20">
        <f t="shared" ref="R4:Z4" si="1">SUM(R5:R35)</f>
        <v>85868</v>
      </c>
      <c r="S4" s="22">
        <f t="shared" si="1"/>
        <v>1488</v>
      </c>
      <c r="T4" s="21">
        <f t="shared" si="1"/>
        <v>11089</v>
      </c>
      <c r="U4" s="20">
        <f t="shared" si="1"/>
        <v>210</v>
      </c>
      <c r="V4" s="22">
        <f t="shared" si="1"/>
        <v>1498.5299999999997</v>
      </c>
      <c r="W4" s="22">
        <f t="shared" si="1"/>
        <v>2133</v>
      </c>
      <c r="X4" s="21">
        <f t="shared" si="1"/>
        <v>0</v>
      </c>
      <c r="Y4" s="20">
        <f t="shared" si="1"/>
        <v>388.52</v>
      </c>
      <c r="Z4" s="19">
        <f t="shared" si="1"/>
        <v>312.08</v>
      </c>
      <c r="AA4" s="18"/>
    </row>
    <row r="5" spans="2:27" ht="16.5" customHeight="1">
      <c r="B5" s="12">
        <v>46023</v>
      </c>
      <c r="C5" s="15">
        <v>126.1</v>
      </c>
      <c r="D5" s="17">
        <v>0</v>
      </c>
      <c r="E5" s="17">
        <v>15.12</v>
      </c>
      <c r="F5" s="16">
        <f>SUM(C5:E5)</f>
        <v>141.22</v>
      </c>
      <c r="G5" s="15">
        <v>101.02</v>
      </c>
      <c r="H5" s="17">
        <v>130.28</v>
      </c>
      <c r="I5" s="16">
        <f>SUM(G5:H5)</f>
        <v>231.3</v>
      </c>
      <c r="J5" s="15">
        <v>1821.1</v>
      </c>
      <c r="K5" s="16">
        <v>2080.5100000000002</v>
      </c>
      <c r="L5" s="15">
        <v>12.28</v>
      </c>
      <c r="M5" s="16">
        <v>16.43</v>
      </c>
      <c r="N5" s="15">
        <v>113.04</v>
      </c>
      <c r="O5" s="17">
        <v>91.44</v>
      </c>
      <c r="P5" s="17">
        <v>21.6</v>
      </c>
      <c r="Q5" s="16">
        <f>O5/N5*100</f>
        <v>80.891719745222929</v>
      </c>
      <c r="R5" s="15">
        <v>2932</v>
      </c>
      <c r="S5" s="17">
        <v>48</v>
      </c>
      <c r="T5" s="16">
        <v>280</v>
      </c>
      <c r="U5" s="15">
        <v>0</v>
      </c>
      <c r="V5" s="17">
        <v>47.39</v>
      </c>
      <c r="W5" s="17">
        <v>58</v>
      </c>
      <c r="X5" s="16">
        <v>0</v>
      </c>
      <c r="Y5" s="15">
        <v>0</v>
      </c>
      <c r="Z5" s="14">
        <v>0</v>
      </c>
      <c r="AA5" s="13" t="s">
        <v>176</v>
      </c>
    </row>
    <row r="6" spans="2:27" ht="16.5" customHeight="1">
      <c r="B6" s="34">
        <v>46024</v>
      </c>
      <c r="C6" s="9">
        <v>114.21</v>
      </c>
      <c r="D6" s="11">
        <v>0</v>
      </c>
      <c r="E6" s="11">
        <v>23.71</v>
      </c>
      <c r="F6" s="10">
        <f>SUM(C6:E6)</f>
        <v>137.91999999999999</v>
      </c>
      <c r="G6" s="9">
        <v>97.32</v>
      </c>
      <c r="H6" s="11">
        <v>130.04</v>
      </c>
      <c r="I6" s="10">
        <f>SUM(G6:H6)</f>
        <v>227.35999999999999</v>
      </c>
      <c r="J6" s="9">
        <v>1779.35</v>
      </c>
      <c r="K6" s="10">
        <v>2057.79</v>
      </c>
      <c r="L6" s="9">
        <v>11.71</v>
      </c>
      <c r="M6" s="10">
        <v>16.03</v>
      </c>
      <c r="N6" s="9">
        <v>110.4</v>
      </c>
      <c r="O6" s="11">
        <v>88.8</v>
      </c>
      <c r="P6" s="11">
        <v>21.6</v>
      </c>
      <c r="Q6" s="10">
        <f>O6/N6*100</f>
        <v>80.434782608695642</v>
      </c>
      <c r="R6" s="9">
        <v>2714</v>
      </c>
      <c r="S6" s="11">
        <v>48</v>
      </c>
      <c r="T6" s="10">
        <v>377</v>
      </c>
      <c r="U6" s="9">
        <v>0</v>
      </c>
      <c r="V6" s="11">
        <v>39.82</v>
      </c>
      <c r="W6" s="11">
        <v>61</v>
      </c>
      <c r="X6" s="10">
        <v>0</v>
      </c>
      <c r="Y6" s="15">
        <v>0</v>
      </c>
      <c r="Z6" s="14">
        <v>0</v>
      </c>
      <c r="AA6" s="102" t="s">
        <v>177</v>
      </c>
    </row>
    <row r="7" spans="2:27">
      <c r="B7" s="34">
        <v>46025</v>
      </c>
      <c r="C7" s="9">
        <v>100.81</v>
      </c>
      <c r="D7" s="11">
        <v>0</v>
      </c>
      <c r="E7" s="11">
        <v>16.239999999999998</v>
      </c>
      <c r="F7" s="10">
        <f t="shared" ref="F7:F33" si="2">SUM(C7:E7)</f>
        <v>117.05</v>
      </c>
      <c r="G7" s="9">
        <v>100.9</v>
      </c>
      <c r="H7" s="11">
        <v>119.16</v>
      </c>
      <c r="I7" s="10">
        <f t="shared" ref="I7:I33" si="3">SUM(G7:H7)</f>
        <v>220.06</v>
      </c>
      <c r="J7" s="9">
        <v>1813.4</v>
      </c>
      <c r="K7" s="10">
        <v>2069.89</v>
      </c>
      <c r="L7" s="9">
        <v>12.2</v>
      </c>
      <c r="M7" s="10">
        <v>16.260000000000002</v>
      </c>
      <c r="N7" s="9">
        <v>113.52</v>
      </c>
      <c r="O7" s="11">
        <v>91.44</v>
      </c>
      <c r="P7" s="11">
        <v>22.08</v>
      </c>
      <c r="Q7" s="10">
        <f t="shared" ref="Q7:Q33" si="4">O7/N7*100</f>
        <v>80.549682875264267</v>
      </c>
      <c r="R7" s="9">
        <v>2800</v>
      </c>
      <c r="S7" s="11">
        <v>48</v>
      </c>
      <c r="T7" s="10">
        <v>240</v>
      </c>
      <c r="U7" s="9">
        <v>0</v>
      </c>
      <c r="V7" s="11">
        <v>50.47</v>
      </c>
      <c r="W7" s="11">
        <v>57</v>
      </c>
      <c r="X7" s="10">
        <v>0</v>
      </c>
      <c r="Y7" s="15">
        <v>0</v>
      </c>
      <c r="Z7" s="14">
        <v>0</v>
      </c>
      <c r="AA7" s="102" t="s">
        <v>178</v>
      </c>
    </row>
    <row r="8" spans="2:27" ht="16.5" customHeight="1">
      <c r="B8" s="34">
        <v>46026</v>
      </c>
      <c r="C8" s="9">
        <v>0</v>
      </c>
      <c r="D8" s="11">
        <v>0</v>
      </c>
      <c r="E8" s="11">
        <v>0</v>
      </c>
      <c r="F8" s="10">
        <f t="shared" si="2"/>
        <v>0</v>
      </c>
      <c r="G8" s="9">
        <v>116.62</v>
      </c>
      <c r="H8" s="11">
        <v>130.75</v>
      </c>
      <c r="I8" s="10">
        <f t="shared" si="3"/>
        <v>247.37</v>
      </c>
      <c r="J8" s="9">
        <v>1862.11</v>
      </c>
      <c r="K8" s="10">
        <v>2059.27</v>
      </c>
      <c r="L8" s="9">
        <v>12.94</v>
      </c>
      <c r="M8" s="10">
        <v>16.09</v>
      </c>
      <c r="N8" s="9">
        <v>114.72</v>
      </c>
      <c r="O8" s="11">
        <v>92.88</v>
      </c>
      <c r="P8" s="11">
        <v>21.84</v>
      </c>
      <c r="Q8" s="10">
        <f t="shared" si="4"/>
        <v>80.962343096234306</v>
      </c>
      <c r="R8" s="9">
        <v>2507</v>
      </c>
      <c r="S8" s="11">
        <v>48</v>
      </c>
      <c r="T8" s="10">
        <v>456</v>
      </c>
      <c r="U8" s="9">
        <v>0</v>
      </c>
      <c r="V8" s="11">
        <v>42.31</v>
      </c>
      <c r="W8" s="11">
        <v>139</v>
      </c>
      <c r="X8" s="10">
        <v>0</v>
      </c>
      <c r="Y8" s="15">
        <v>0</v>
      </c>
      <c r="Z8" s="14">
        <v>0</v>
      </c>
      <c r="AA8" s="102" t="s">
        <v>179</v>
      </c>
    </row>
    <row r="9" spans="2:27" ht="16.5" customHeight="1">
      <c r="B9" s="34">
        <v>46027</v>
      </c>
      <c r="C9" s="9">
        <v>162.41999999999999</v>
      </c>
      <c r="D9" s="11">
        <v>168.67</v>
      </c>
      <c r="E9" s="11">
        <v>34.93</v>
      </c>
      <c r="F9" s="10">
        <f t="shared" si="2"/>
        <v>366.02</v>
      </c>
      <c r="G9" s="9">
        <v>113.53</v>
      </c>
      <c r="H9" s="11">
        <v>123.26</v>
      </c>
      <c r="I9" s="10">
        <f t="shared" si="3"/>
        <v>236.79000000000002</v>
      </c>
      <c r="J9" s="9">
        <v>1891.5</v>
      </c>
      <c r="K9" s="10">
        <v>2093.02</v>
      </c>
      <c r="L9" s="9">
        <v>13.42</v>
      </c>
      <c r="M9" s="10">
        <v>16.62</v>
      </c>
      <c r="N9" s="9">
        <v>119.76</v>
      </c>
      <c r="O9" s="11">
        <v>97.68</v>
      </c>
      <c r="P9" s="11">
        <v>22.08</v>
      </c>
      <c r="Q9" s="10">
        <f t="shared" si="4"/>
        <v>81.563126252505015</v>
      </c>
      <c r="R9" s="9">
        <v>2795</v>
      </c>
      <c r="S9" s="11">
        <v>48</v>
      </c>
      <c r="T9" s="10">
        <v>340</v>
      </c>
      <c r="U9" s="9">
        <v>0</v>
      </c>
      <c r="V9" s="11">
        <v>41.11</v>
      </c>
      <c r="W9" s="11">
        <v>52</v>
      </c>
      <c r="X9" s="10">
        <v>0</v>
      </c>
      <c r="Y9" s="9">
        <v>0</v>
      </c>
      <c r="Z9" s="8">
        <v>0</v>
      </c>
      <c r="AA9" s="101" t="s">
        <v>180</v>
      </c>
    </row>
    <row r="10" spans="2:27">
      <c r="B10" s="34">
        <v>46028</v>
      </c>
      <c r="C10" s="9">
        <v>133.91999999999999</v>
      </c>
      <c r="D10" s="11">
        <v>240</v>
      </c>
      <c r="E10" s="182">
        <v>32.67</v>
      </c>
      <c r="F10" s="10">
        <f t="shared" si="2"/>
        <v>406.59</v>
      </c>
      <c r="G10" s="9">
        <v>109.43</v>
      </c>
      <c r="H10" s="11">
        <v>122.52</v>
      </c>
      <c r="I10" s="10">
        <f t="shared" si="3"/>
        <v>231.95</v>
      </c>
      <c r="J10" s="9">
        <v>1858.53</v>
      </c>
      <c r="K10" s="10">
        <v>2018.31</v>
      </c>
      <c r="L10" s="9">
        <v>12.92</v>
      </c>
      <c r="M10" s="10">
        <v>15.44</v>
      </c>
      <c r="N10" s="9">
        <v>112.56</v>
      </c>
      <c r="O10" s="11">
        <v>90.96</v>
      </c>
      <c r="P10" s="11">
        <v>21.6</v>
      </c>
      <c r="Q10" s="10">
        <f t="shared" si="4"/>
        <v>80.810234541577813</v>
      </c>
      <c r="R10" s="9">
        <v>2897</v>
      </c>
      <c r="S10" s="11">
        <v>48</v>
      </c>
      <c r="T10" s="10">
        <v>446</v>
      </c>
      <c r="U10" s="9">
        <v>0</v>
      </c>
      <c r="V10" s="11">
        <v>50.95</v>
      </c>
      <c r="W10" s="11">
        <v>56</v>
      </c>
      <c r="X10" s="10">
        <v>0</v>
      </c>
      <c r="Y10" s="9">
        <v>0</v>
      </c>
      <c r="Z10" s="8">
        <v>0</v>
      </c>
      <c r="AA10" s="102" t="s">
        <v>181</v>
      </c>
    </row>
    <row r="11" spans="2:27">
      <c r="B11" s="34">
        <v>46029</v>
      </c>
      <c r="C11" s="9">
        <v>10.55</v>
      </c>
      <c r="D11" s="11">
        <v>146.57</v>
      </c>
      <c r="E11" s="11">
        <v>11.6</v>
      </c>
      <c r="F11" s="10">
        <f t="shared" si="2"/>
        <v>168.72</v>
      </c>
      <c r="G11" s="9">
        <v>114.89</v>
      </c>
      <c r="H11" s="11">
        <v>135.25</v>
      </c>
      <c r="I11" s="10">
        <f t="shared" si="3"/>
        <v>250.14</v>
      </c>
      <c r="J11" s="9">
        <v>1910.66</v>
      </c>
      <c r="K11" s="10">
        <v>2088.73</v>
      </c>
      <c r="L11" s="9">
        <v>13.74</v>
      </c>
      <c r="M11" s="10">
        <v>16.55</v>
      </c>
      <c r="N11" s="9">
        <v>124.08</v>
      </c>
      <c r="O11" s="11">
        <v>102.48</v>
      </c>
      <c r="P11" s="11">
        <v>21.6</v>
      </c>
      <c r="Q11" s="10">
        <f t="shared" si="4"/>
        <v>82.591876208897489</v>
      </c>
      <c r="R11" s="9">
        <v>2739</v>
      </c>
      <c r="S11" s="11">
        <v>48</v>
      </c>
      <c r="T11" s="10">
        <v>258</v>
      </c>
      <c r="U11" s="9">
        <v>0</v>
      </c>
      <c r="V11" s="11">
        <v>38.18</v>
      </c>
      <c r="W11" s="11">
        <v>32</v>
      </c>
      <c r="X11" s="10">
        <v>0</v>
      </c>
      <c r="Y11" s="9">
        <v>0</v>
      </c>
      <c r="Z11" s="8">
        <v>0</v>
      </c>
      <c r="AA11" s="7" t="s">
        <v>23</v>
      </c>
    </row>
    <row r="12" spans="2:27">
      <c r="B12" s="34">
        <v>46030</v>
      </c>
      <c r="C12" s="9">
        <v>138.61000000000001</v>
      </c>
      <c r="D12" s="11">
        <v>165</v>
      </c>
      <c r="E12" s="11">
        <v>22.45</v>
      </c>
      <c r="F12" s="10">
        <f t="shared" si="2"/>
        <v>326.06</v>
      </c>
      <c r="G12" s="9">
        <v>116.55</v>
      </c>
      <c r="H12" s="11">
        <v>117.58</v>
      </c>
      <c r="I12" s="10">
        <f t="shared" si="3"/>
        <v>234.13</v>
      </c>
      <c r="J12" s="9">
        <v>1995.46</v>
      </c>
      <c r="K12" s="10">
        <v>2065.85</v>
      </c>
      <c r="L12" s="9">
        <v>15.09</v>
      </c>
      <c r="M12" s="10">
        <v>16.22</v>
      </c>
      <c r="N12" s="9">
        <v>131.28</v>
      </c>
      <c r="O12" s="11">
        <v>110.64</v>
      </c>
      <c r="P12" s="11">
        <v>20.64</v>
      </c>
      <c r="Q12" s="10">
        <f t="shared" si="4"/>
        <v>84.277879341864718</v>
      </c>
      <c r="R12" s="9">
        <v>2704</v>
      </c>
      <c r="S12" s="11">
        <v>48</v>
      </c>
      <c r="T12" s="10">
        <v>407</v>
      </c>
      <c r="U12" s="9">
        <v>0</v>
      </c>
      <c r="V12" s="11">
        <v>48.24</v>
      </c>
      <c r="W12" s="11">
        <v>98</v>
      </c>
      <c r="X12" s="10">
        <v>0</v>
      </c>
      <c r="Y12" s="9">
        <v>0</v>
      </c>
      <c r="Z12" s="8">
        <v>0</v>
      </c>
      <c r="AA12" s="7" t="s">
        <v>22</v>
      </c>
    </row>
    <row r="13" spans="2:27" ht="16.5" customHeight="1">
      <c r="B13" s="34">
        <v>46031</v>
      </c>
      <c r="C13" s="9">
        <v>94.53</v>
      </c>
      <c r="D13" s="11">
        <v>201.81</v>
      </c>
      <c r="E13" s="11">
        <v>31.42</v>
      </c>
      <c r="F13" s="10">
        <f t="shared" si="2"/>
        <v>327.76000000000005</v>
      </c>
      <c r="G13" s="9">
        <v>126.32</v>
      </c>
      <c r="H13" s="11">
        <v>125.21</v>
      </c>
      <c r="I13" s="10">
        <f t="shared" si="3"/>
        <v>251.52999999999997</v>
      </c>
      <c r="J13" s="9">
        <v>1952.14</v>
      </c>
      <c r="K13" s="10">
        <v>2034.18</v>
      </c>
      <c r="L13" s="9">
        <v>14.4</v>
      </c>
      <c r="M13" s="10">
        <v>15.71</v>
      </c>
      <c r="N13" s="9">
        <v>124.32</v>
      </c>
      <c r="O13" s="11">
        <v>103.68</v>
      </c>
      <c r="P13" s="11">
        <v>20.64</v>
      </c>
      <c r="Q13" s="10">
        <f t="shared" si="4"/>
        <v>83.397683397683409</v>
      </c>
      <c r="R13" s="9">
        <v>2694</v>
      </c>
      <c r="S13" s="11">
        <v>48</v>
      </c>
      <c r="T13" s="10">
        <v>288</v>
      </c>
      <c r="U13" s="9">
        <v>210</v>
      </c>
      <c r="V13" s="11">
        <v>49.7</v>
      </c>
      <c r="W13" s="11">
        <v>65</v>
      </c>
      <c r="X13" s="10">
        <v>0</v>
      </c>
      <c r="Y13" s="9">
        <v>0</v>
      </c>
      <c r="Z13" s="8">
        <v>0</v>
      </c>
      <c r="AA13" s="7" t="s">
        <v>21</v>
      </c>
    </row>
    <row r="14" spans="2:27">
      <c r="B14" s="34">
        <v>46032</v>
      </c>
      <c r="C14" s="9">
        <v>92.14</v>
      </c>
      <c r="D14" s="11">
        <v>91.21</v>
      </c>
      <c r="E14" s="11">
        <v>11.91</v>
      </c>
      <c r="F14" s="10">
        <f t="shared" si="2"/>
        <v>195.26</v>
      </c>
      <c r="G14" s="9">
        <v>125.34</v>
      </c>
      <c r="H14" s="11">
        <v>127.95</v>
      </c>
      <c r="I14" s="10">
        <f t="shared" si="3"/>
        <v>253.29000000000002</v>
      </c>
      <c r="J14" s="9">
        <v>1983.91</v>
      </c>
      <c r="K14" s="10">
        <v>2064.6999999999998</v>
      </c>
      <c r="L14" s="9">
        <v>14.89</v>
      </c>
      <c r="M14" s="10">
        <v>16.170000000000002</v>
      </c>
      <c r="N14" s="9">
        <v>126</v>
      </c>
      <c r="O14" s="11">
        <v>104.88</v>
      </c>
      <c r="P14" s="11">
        <v>21.12</v>
      </c>
      <c r="Q14" s="10">
        <f t="shared" si="4"/>
        <v>83.238095238095227</v>
      </c>
      <c r="R14" s="9">
        <v>2583</v>
      </c>
      <c r="S14" s="11">
        <v>48</v>
      </c>
      <c r="T14" s="10">
        <v>365</v>
      </c>
      <c r="U14" s="9">
        <v>0</v>
      </c>
      <c r="V14" s="11">
        <v>49.7</v>
      </c>
      <c r="W14" s="11">
        <v>66</v>
      </c>
      <c r="X14" s="10">
        <v>0</v>
      </c>
      <c r="Y14" s="9">
        <v>0</v>
      </c>
      <c r="Z14" s="8">
        <v>0</v>
      </c>
      <c r="AA14" s="7" t="s">
        <v>20</v>
      </c>
    </row>
    <row r="15" spans="2:27">
      <c r="B15" s="34">
        <v>46033</v>
      </c>
      <c r="C15" s="9">
        <v>0</v>
      </c>
      <c r="D15" s="11">
        <v>0</v>
      </c>
      <c r="E15" s="11">
        <v>0</v>
      </c>
      <c r="F15" s="10">
        <f t="shared" si="2"/>
        <v>0</v>
      </c>
      <c r="G15" s="9">
        <v>118.55</v>
      </c>
      <c r="H15" s="11">
        <v>125.36</v>
      </c>
      <c r="I15" s="10">
        <f t="shared" si="3"/>
        <v>243.91</v>
      </c>
      <c r="J15" s="9">
        <v>1943.29</v>
      </c>
      <c r="K15" s="10">
        <v>2050.91</v>
      </c>
      <c r="L15" s="9">
        <v>14.24</v>
      </c>
      <c r="M15" s="10">
        <v>15.97</v>
      </c>
      <c r="N15" s="9">
        <v>123.36</v>
      </c>
      <c r="O15" s="11">
        <v>102.48</v>
      </c>
      <c r="P15" s="11">
        <v>20.88</v>
      </c>
      <c r="Q15" s="10">
        <f t="shared" si="4"/>
        <v>83.073929961089505</v>
      </c>
      <c r="R15" s="9">
        <v>2496</v>
      </c>
      <c r="S15" s="11">
        <v>48</v>
      </c>
      <c r="T15" s="10">
        <v>307</v>
      </c>
      <c r="U15" s="9">
        <v>0</v>
      </c>
      <c r="V15" s="11">
        <v>56.59</v>
      </c>
      <c r="W15" s="11">
        <v>61</v>
      </c>
      <c r="X15" s="10">
        <v>0</v>
      </c>
      <c r="Y15" s="9">
        <v>0</v>
      </c>
      <c r="Z15" s="8">
        <v>0</v>
      </c>
      <c r="AA15" s="7" t="s">
        <v>19</v>
      </c>
    </row>
    <row r="16" spans="2:27">
      <c r="B16" s="34">
        <v>46034</v>
      </c>
      <c r="C16" s="9">
        <v>165.67</v>
      </c>
      <c r="D16" s="11">
        <v>146.30000000000001</v>
      </c>
      <c r="E16" s="11">
        <v>29.63</v>
      </c>
      <c r="F16" s="10">
        <f t="shared" si="2"/>
        <v>341.6</v>
      </c>
      <c r="G16" s="9">
        <v>122.71</v>
      </c>
      <c r="H16" s="11">
        <v>126.16</v>
      </c>
      <c r="I16" s="10">
        <f t="shared" si="3"/>
        <v>248.87</v>
      </c>
      <c r="J16" s="9">
        <v>1950.74</v>
      </c>
      <c r="K16" s="10">
        <v>2052.36</v>
      </c>
      <c r="L16" s="9">
        <v>14.38</v>
      </c>
      <c r="M16" s="10">
        <v>15.99</v>
      </c>
      <c r="N16" s="9">
        <v>124.08</v>
      </c>
      <c r="O16" s="11">
        <v>103.2</v>
      </c>
      <c r="P16" s="11">
        <v>20.88</v>
      </c>
      <c r="Q16" s="10">
        <f t="shared" si="4"/>
        <v>83.172147001934235</v>
      </c>
      <c r="R16" s="9">
        <v>2552</v>
      </c>
      <c r="S16" s="11">
        <v>48</v>
      </c>
      <c r="T16" s="10">
        <v>392</v>
      </c>
      <c r="U16" s="9">
        <v>0</v>
      </c>
      <c r="V16" s="11">
        <v>35.159999999999997</v>
      </c>
      <c r="W16" s="11">
        <v>53</v>
      </c>
      <c r="X16" s="10">
        <v>0</v>
      </c>
      <c r="Y16" s="9">
        <v>0</v>
      </c>
      <c r="Z16" s="8">
        <v>0</v>
      </c>
      <c r="AA16" s="7" t="s">
        <v>182</v>
      </c>
    </row>
    <row r="17" spans="2:27" ht="16.5" customHeight="1">
      <c r="B17" s="34">
        <v>46035</v>
      </c>
      <c r="C17" s="9">
        <v>132.94999999999999</v>
      </c>
      <c r="D17" s="11">
        <v>147.33000000000001</v>
      </c>
      <c r="E17" s="11">
        <v>45.57</v>
      </c>
      <c r="F17" s="10">
        <f t="shared" si="2"/>
        <v>325.84999999999997</v>
      </c>
      <c r="G17" s="9">
        <v>127.94</v>
      </c>
      <c r="H17" s="11">
        <v>135.07</v>
      </c>
      <c r="I17" s="10">
        <f t="shared" si="3"/>
        <v>263.01</v>
      </c>
      <c r="J17" s="9">
        <v>1959.2</v>
      </c>
      <c r="K17" s="10">
        <v>2074.3000000000002</v>
      </c>
      <c r="L17" s="9">
        <v>14.51</v>
      </c>
      <c r="M17" s="10">
        <v>16.36</v>
      </c>
      <c r="N17" s="9">
        <v>124.56</v>
      </c>
      <c r="O17" s="11">
        <v>103.68</v>
      </c>
      <c r="P17" s="11">
        <v>20.88</v>
      </c>
      <c r="Q17" s="10">
        <f t="shared" si="4"/>
        <v>83.236994219653184</v>
      </c>
      <c r="R17" s="9">
        <v>2507</v>
      </c>
      <c r="S17" s="11">
        <v>48</v>
      </c>
      <c r="T17" s="10">
        <v>361</v>
      </c>
      <c r="U17" s="9">
        <v>0</v>
      </c>
      <c r="V17" s="11">
        <v>55.87</v>
      </c>
      <c r="W17" s="11">
        <v>123</v>
      </c>
      <c r="X17" s="10">
        <v>0</v>
      </c>
      <c r="Y17" s="9">
        <v>0</v>
      </c>
      <c r="Z17" s="8">
        <v>0</v>
      </c>
      <c r="AA17" s="7" t="s">
        <v>17</v>
      </c>
    </row>
    <row r="18" spans="2:27">
      <c r="B18" s="34">
        <v>46036</v>
      </c>
      <c r="C18" s="9">
        <v>61.26</v>
      </c>
      <c r="D18" s="11">
        <v>248.25</v>
      </c>
      <c r="E18" s="11">
        <v>3.49</v>
      </c>
      <c r="F18" s="10">
        <f t="shared" si="2"/>
        <v>313</v>
      </c>
      <c r="G18" s="9">
        <v>124.11</v>
      </c>
      <c r="H18" s="11">
        <v>136.94</v>
      </c>
      <c r="I18" s="10">
        <f t="shared" si="3"/>
        <v>261.05</v>
      </c>
      <c r="J18" s="9">
        <v>1934.59</v>
      </c>
      <c r="K18" s="10">
        <v>2086.4</v>
      </c>
      <c r="L18" s="9">
        <v>14.12</v>
      </c>
      <c r="M18" s="10">
        <v>16.53</v>
      </c>
      <c r="N18" s="9">
        <v>124.32</v>
      </c>
      <c r="O18" s="11">
        <v>103.2</v>
      </c>
      <c r="P18" s="11">
        <v>21.12</v>
      </c>
      <c r="Q18" s="10">
        <f t="shared" si="4"/>
        <v>83.011583011583028</v>
      </c>
      <c r="R18" s="9">
        <v>2745</v>
      </c>
      <c r="S18" s="11">
        <v>48</v>
      </c>
      <c r="T18" s="10">
        <v>361</v>
      </c>
      <c r="U18" s="9">
        <v>0</v>
      </c>
      <c r="V18" s="11">
        <v>39.729999999999997</v>
      </c>
      <c r="W18" s="11">
        <v>68</v>
      </c>
      <c r="X18" s="10">
        <v>0</v>
      </c>
      <c r="Y18" s="9">
        <v>0</v>
      </c>
      <c r="Z18" s="8">
        <v>0</v>
      </c>
      <c r="AA18" s="7" t="s">
        <v>16</v>
      </c>
    </row>
    <row r="19" spans="2:27" ht="16.5" customHeight="1">
      <c r="B19" s="34">
        <v>46037</v>
      </c>
      <c r="C19" s="9">
        <v>163.09</v>
      </c>
      <c r="D19" s="11">
        <v>251.7</v>
      </c>
      <c r="E19" s="11">
        <v>47.41</v>
      </c>
      <c r="F19" s="10">
        <f t="shared" si="2"/>
        <v>462.19999999999993</v>
      </c>
      <c r="G19" s="9">
        <v>129.12</v>
      </c>
      <c r="H19" s="11">
        <v>123.91</v>
      </c>
      <c r="I19" s="10">
        <f t="shared" si="3"/>
        <v>253.03</v>
      </c>
      <c r="J19" s="9">
        <v>1993.65</v>
      </c>
      <c r="K19" s="10">
        <v>2049.75</v>
      </c>
      <c r="L19" s="9">
        <v>15.05</v>
      </c>
      <c r="M19" s="10">
        <v>15.94</v>
      </c>
      <c r="N19" s="9">
        <v>123.84</v>
      </c>
      <c r="O19" s="11">
        <v>102.96</v>
      </c>
      <c r="P19" s="11">
        <v>20.88</v>
      </c>
      <c r="Q19" s="10">
        <f t="shared" si="4"/>
        <v>83.139534883720927</v>
      </c>
      <c r="R19" s="9">
        <v>3170</v>
      </c>
      <c r="S19" s="11">
        <v>48</v>
      </c>
      <c r="T19" s="10">
        <v>416</v>
      </c>
      <c r="U19" s="9">
        <v>0</v>
      </c>
      <c r="V19" s="11">
        <v>49.63</v>
      </c>
      <c r="W19" s="11">
        <v>44</v>
      </c>
      <c r="X19" s="10">
        <v>0</v>
      </c>
      <c r="Y19" s="9">
        <v>0</v>
      </c>
      <c r="Z19" s="8">
        <v>0</v>
      </c>
      <c r="AA19" s="7" t="s">
        <v>15</v>
      </c>
    </row>
    <row r="20" spans="2:27" ht="16.5" customHeight="1">
      <c r="B20" s="34">
        <v>46038</v>
      </c>
      <c r="C20" s="9">
        <v>109.22</v>
      </c>
      <c r="D20" s="11">
        <v>198.07</v>
      </c>
      <c r="E20" s="11">
        <v>29.89</v>
      </c>
      <c r="F20" s="10">
        <f t="shared" si="2"/>
        <v>337.17999999999995</v>
      </c>
      <c r="G20" s="9">
        <v>129.16999999999999</v>
      </c>
      <c r="H20" s="11">
        <v>136.15</v>
      </c>
      <c r="I20" s="10">
        <f t="shared" si="3"/>
        <v>265.32</v>
      </c>
      <c r="J20" s="9">
        <v>1987.59</v>
      </c>
      <c r="K20" s="10">
        <v>2091.34</v>
      </c>
      <c r="L20" s="9">
        <v>14.97</v>
      </c>
      <c r="M20" s="10">
        <v>16.600000000000001</v>
      </c>
      <c r="N20" s="9">
        <v>128.88</v>
      </c>
      <c r="O20" s="11">
        <v>107.28</v>
      </c>
      <c r="P20" s="11">
        <v>21.6</v>
      </c>
      <c r="Q20" s="10">
        <f t="shared" si="4"/>
        <v>83.240223463687158</v>
      </c>
      <c r="R20" s="9">
        <v>2416</v>
      </c>
      <c r="S20" s="11">
        <v>48</v>
      </c>
      <c r="T20" s="10">
        <v>149</v>
      </c>
      <c r="U20" s="9">
        <v>0</v>
      </c>
      <c r="V20" s="11">
        <v>74.62</v>
      </c>
      <c r="W20" s="11">
        <v>125</v>
      </c>
      <c r="X20" s="10">
        <v>0</v>
      </c>
      <c r="Y20" s="9">
        <v>0</v>
      </c>
      <c r="Z20" s="8">
        <v>0</v>
      </c>
      <c r="AA20" s="7" t="s">
        <v>14</v>
      </c>
    </row>
    <row r="21" spans="2:27">
      <c r="B21" s="34">
        <v>46039</v>
      </c>
      <c r="C21" s="9">
        <v>90.37</v>
      </c>
      <c r="D21" s="11">
        <v>173.28</v>
      </c>
      <c r="E21" s="11">
        <v>12.55</v>
      </c>
      <c r="F21" s="10">
        <f t="shared" si="2"/>
        <v>276.2</v>
      </c>
      <c r="G21" s="9">
        <v>123.32</v>
      </c>
      <c r="H21" s="11">
        <v>125.52</v>
      </c>
      <c r="I21" s="10">
        <f t="shared" si="3"/>
        <v>248.83999999999997</v>
      </c>
      <c r="J21" s="9">
        <v>1946.38</v>
      </c>
      <c r="K21" s="10">
        <v>2102.61</v>
      </c>
      <c r="L21" s="9">
        <v>14.3</v>
      </c>
      <c r="M21" s="10">
        <v>16.77</v>
      </c>
      <c r="N21" s="9">
        <v>125.52</v>
      </c>
      <c r="O21" s="11">
        <v>104.4</v>
      </c>
      <c r="P21" s="11">
        <v>21.12</v>
      </c>
      <c r="Q21" s="10">
        <f t="shared" si="4"/>
        <v>83.173996175908229</v>
      </c>
      <c r="R21" s="9">
        <v>2830</v>
      </c>
      <c r="S21" s="11">
        <v>48</v>
      </c>
      <c r="T21" s="10">
        <v>307</v>
      </c>
      <c r="U21" s="9">
        <v>0</v>
      </c>
      <c r="V21" s="11">
        <v>39.99</v>
      </c>
      <c r="W21" s="11">
        <v>64</v>
      </c>
      <c r="X21" s="10">
        <v>0</v>
      </c>
      <c r="Y21" s="9">
        <v>0</v>
      </c>
      <c r="Z21" s="8">
        <v>0</v>
      </c>
      <c r="AA21" s="7" t="s">
        <v>13</v>
      </c>
    </row>
    <row r="22" spans="2:27">
      <c r="B22" s="34">
        <v>46040</v>
      </c>
      <c r="C22" s="9">
        <v>0</v>
      </c>
      <c r="D22" s="11">
        <v>0</v>
      </c>
      <c r="E22" s="11">
        <v>0</v>
      </c>
      <c r="F22" s="10">
        <f t="shared" si="2"/>
        <v>0</v>
      </c>
      <c r="G22" s="9">
        <v>118.82</v>
      </c>
      <c r="H22" s="11">
        <v>126.84</v>
      </c>
      <c r="I22" s="10">
        <f t="shared" si="3"/>
        <v>245.66</v>
      </c>
      <c r="J22" s="9">
        <v>2003.41</v>
      </c>
      <c r="K22" s="10">
        <v>2091.31</v>
      </c>
      <c r="L22" s="9">
        <v>15.21</v>
      </c>
      <c r="M22" s="10">
        <v>16.600000000000001</v>
      </c>
      <c r="N22" s="9">
        <v>129.6</v>
      </c>
      <c r="O22" s="11">
        <v>108</v>
      </c>
      <c r="P22" s="11">
        <v>21.6</v>
      </c>
      <c r="Q22" s="10">
        <f t="shared" si="4"/>
        <v>83.333333333333343</v>
      </c>
      <c r="R22" s="9">
        <v>3094</v>
      </c>
      <c r="S22" s="11">
        <v>48</v>
      </c>
      <c r="T22" s="10">
        <v>458</v>
      </c>
      <c r="U22" s="9">
        <v>0</v>
      </c>
      <c r="V22" s="11">
        <v>40.630000000000003</v>
      </c>
      <c r="W22" s="11">
        <v>56</v>
      </c>
      <c r="X22" s="10">
        <v>0</v>
      </c>
      <c r="Y22" s="9">
        <v>0</v>
      </c>
      <c r="Z22" s="8">
        <v>0</v>
      </c>
      <c r="AA22" s="7" t="s">
        <v>12</v>
      </c>
    </row>
    <row r="23" spans="2:27" ht="16.5" customHeight="1">
      <c r="B23" s="34">
        <v>46041</v>
      </c>
      <c r="C23" s="9">
        <v>179.68</v>
      </c>
      <c r="D23" s="11">
        <v>195.17</v>
      </c>
      <c r="E23" s="11">
        <v>53.86</v>
      </c>
      <c r="F23" s="10">
        <f t="shared" si="2"/>
        <v>428.71000000000004</v>
      </c>
      <c r="G23" s="9">
        <v>115.38</v>
      </c>
      <c r="H23" s="11">
        <v>125.77</v>
      </c>
      <c r="I23" s="10">
        <f t="shared" si="3"/>
        <v>241.14999999999998</v>
      </c>
      <c r="J23" s="9">
        <v>1934.45</v>
      </c>
      <c r="K23" s="10">
        <v>2088.98</v>
      </c>
      <c r="L23" s="9">
        <v>14.12</v>
      </c>
      <c r="M23" s="10">
        <v>16.559999999999999</v>
      </c>
      <c r="N23" s="9">
        <v>124.08</v>
      </c>
      <c r="O23" s="11">
        <v>102.72</v>
      </c>
      <c r="P23" s="11">
        <v>21.36</v>
      </c>
      <c r="Q23" s="10">
        <f t="shared" si="4"/>
        <v>82.785299806576404</v>
      </c>
      <c r="R23" s="9">
        <v>2785</v>
      </c>
      <c r="S23" s="11">
        <v>48</v>
      </c>
      <c r="T23" s="10">
        <v>459</v>
      </c>
      <c r="U23" s="9">
        <v>0</v>
      </c>
      <c r="V23" s="11">
        <v>47.02</v>
      </c>
      <c r="W23" s="11">
        <v>62</v>
      </c>
      <c r="X23" s="10">
        <v>0</v>
      </c>
      <c r="Y23" s="9">
        <v>0</v>
      </c>
      <c r="Z23" s="8">
        <v>0</v>
      </c>
      <c r="AA23" s="7" t="s">
        <v>11</v>
      </c>
    </row>
    <row r="24" spans="2:27">
      <c r="B24" s="34">
        <v>46042</v>
      </c>
      <c r="C24" s="9">
        <v>125.71</v>
      </c>
      <c r="D24" s="11">
        <v>246.26</v>
      </c>
      <c r="E24" s="11">
        <v>19.239999999999998</v>
      </c>
      <c r="F24" s="10">
        <f t="shared" si="2"/>
        <v>391.21</v>
      </c>
      <c r="G24" s="9">
        <v>119.4</v>
      </c>
      <c r="H24" s="11">
        <v>135.51</v>
      </c>
      <c r="I24" s="10">
        <f t="shared" si="3"/>
        <v>254.91</v>
      </c>
      <c r="J24" s="9">
        <v>1893.13</v>
      </c>
      <c r="K24" s="10">
        <v>2071.25</v>
      </c>
      <c r="L24" s="9">
        <v>13.46</v>
      </c>
      <c r="M24" s="10">
        <v>16.3</v>
      </c>
      <c r="N24" s="9">
        <v>119.28</v>
      </c>
      <c r="O24" s="11">
        <v>98.4</v>
      </c>
      <c r="P24" s="11">
        <v>20.88</v>
      </c>
      <c r="Q24" s="10">
        <f t="shared" si="4"/>
        <v>82.494969818913489</v>
      </c>
      <c r="R24" s="9">
        <v>2741</v>
      </c>
      <c r="S24" s="11">
        <v>48</v>
      </c>
      <c r="T24" s="10">
        <v>431</v>
      </c>
      <c r="U24" s="9">
        <v>0</v>
      </c>
      <c r="V24" s="11">
        <v>48.29</v>
      </c>
      <c r="W24" s="11">
        <v>56</v>
      </c>
      <c r="X24" s="10">
        <v>0</v>
      </c>
      <c r="Y24" s="9">
        <v>45.15</v>
      </c>
      <c r="Z24" s="8">
        <v>0</v>
      </c>
      <c r="AA24" s="7" t="s">
        <v>10</v>
      </c>
    </row>
    <row r="25" spans="2:27">
      <c r="B25" s="34">
        <v>46043</v>
      </c>
      <c r="C25" s="9">
        <v>26.39</v>
      </c>
      <c r="D25" s="11">
        <v>212.51</v>
      </c>
      <c r="E25" s="11">
        <v>21.21</v>
      </c>
      <c r="F25" s="10">
        <f t="shared" si="2"/>
        <v>260.10999999999996</v>
      </c>
      <c r="G25" s="9">
        <v>120.3</v>
      </c>
      <c r="H25" s="11">
        <v>127.64</v>
      </c>
      <c r="I25" s="10">
        <f t="shared" si="3"/>
        <v>247.94</v>
      </c>
      <c r="J25" s="9">
        <v>1967.39</v>
      </c>
      <c r="K25" s="10">
        <v>2099.89</v>
      </c>
      <c r="L25" s="9">
        <v>14.63</v>
      </c>
      <c r="M25" s="10">
        <v>16.760000000000002</v>
      </c>
      <c r="N25" s="9">
        <v>127.92</v>
      </c>
      <c r="O25" s="11">
        <v>106.56</v>
      </c>
      <c r="P25" s="11">
        <v>21.36</v>
      </c>
      <c r="Q25" s="10">
        <f t="shared" si="4"/>
        <v>83.302063789868669</v>
      </c>
      <c r="R25" s="9">
        <v>2405</v>
      </c>
      <c r="S25" s="11">
        <v>48</v>
      </c>
      <c r="T25" s="10">
        <v>431</v>
      </c>
      <c r="U25" s="9">
        <v>0</v>
      </c>
      <c r="V25" s="11">
        <v>43.03</v>
      </c>
      <c r="W25" s="11">
        <v>57</v>
      </c>
      <c r="X25" s="10">
        <v>0</v>
      </c>
      <c r="Y25" s="9">
        <v>45.43</v>
      </c>
      <c r="Z25" s="8">
        <v>0</v>
      </c>
      <c r="AA25" s="7" t="s">
        <v>9</v>
      </c>
    </row>
    <row r="26" spans="2:27" ht="16.5" customHeight="1">
      <c r="B26" s="34">
        <v>46044</v>
      </c>
      <c r="C26" s="9">
        <v>163.13</v>
      </c>
      <c r="D26" s="11">
        <v>192.8</v>
      </c>
      <c r="E26" s="11">
        <v>25.25</v>
      </c>
      <c r="F26" s="10">
        <f t="shared" si="2"/>
        <v>381.18</v>
      </c>
      <c r="G26" s="9">
        <v>113.17</v>
      </c>
      <c r="H26" s="11">
        <v>134.91</v>
      </c>
      <c r="I26" s="10">
        <f t="shared" si="3"/>
        <v>248.07999999999998</v>
      </c>
      <c r="J26" s="9">
        <v>1965.31</v>
      </c>
      <c r="K26" s="10">
        <v>2154.73</v>
      </c>
      <c r="L26" s="9">
        <v>14.59</v>
      </c>
      <c r="M26" s="10">
        <v>17.61</v>
      </c>
      <c r="N26" s="9">
        <v>131.28</v>
      </c>
      <c r="O26" s="11">
        <v>110.16</v>
      </c>
      <c r="P26" s="11">
        <v>21.12</v>
      </c>
      <c r="Q26" s="10">
        <f t="shared" si="4"/>
        <v>83.912248628884825</v>
      </c>
      <c r="R26" s="9">
        <v>2587</v>
      </c>
      <c r="S26" s="11">
        <v>48</v>
      </c>
      <c r="T26" s="10">
        <v>349</v>
      </c>
      <c r="U26" s="9">
        <v>0</v>
      </c>
      <c r="V26" s="11">
        <v>57.42</v>
      </c>
      <c r="W26" s="11">
        <v>55</v>
      </c>
      <c r="X26" s="10">
        <v>0</v>
      </c>
      <c r="Y26" s="9">
        <v>45.06</v>
      </c>
      <c r="Z26" s="8">
        <v>0</v>
      </c>
      <c r="AA26" s="7" t="s">
        <v>8</v>
      </c>
    </row>
    <row r="27" spans="2:27">
      <c r="B27" s="34">
        <v>46045</v>
      </c>
      <c r="C27" s="9">
        <v>101.8</v>
      </c>
      <c r="D27" s="11">
        <v>200.93</v>
      </c>
      <c r="E27" s="11">
        <v>29.99</v>
      </c>
      <c r="F27" s="10">
        <f t="shared" si="2"/>
        <v>332.72</v>
      </c>
      <c r="G27" s="9">
        <v>122.45</v>
      </c>
      <c r="H27" s="11">
        <v>130.93</v>
      </c>
      <c r="I27" s="10">
        <f t="shared" si="3"/>
        <v>253.38</v>
      </c>
      <c r="J27" s="9">
        <v>1970.64</v>
      </c>
      <c r="K27" s="10">
        <v>2131.5100000000002</v>
      </c>
      <c r="L27" s="9">
        <v>14.68</v>
      </c>
      <c r="M27" s="10">
        <v>17.25</v>
      </c>
      <c r="N27" s="9">
        <v>130.08000000000001</v>
      </c>
      <c r="O27" s="11">
        <v>108.48</v>
      </c>
      <c r="P27" s="11">
        <v>21.6</v>
      </c>
      <c r="Q27" s="10">
        <f t="shared" si="4"/>
        <v>83.394833948339482</v>
      </c>
      <c r="R27" s="9">
        <v>2902</v>
      </c>
      <c r="S27" s="11">
        <v>48</v>
      </c>
      <c r="T27" s="10">
        <v>452</v>
      </c>
      <c r="U27" s="9">
        <v>0</v>
      </c>
      <c r="V27" s="11">
        <v>42.27</v>
      </c>
      <c r="W27" s="11">
        <v>63</v>
      </c>
      <c r="X27" s="10">
        <v>0</v>
      </c>
      <c r="Y27" s="9">
        <v>45.72</v>
      </c>
      <c r="Z27" s="8">
        <v>0</v>
      </c>
      <c r="AA27" s="7" t="s">
        <v>7</v>
      </c>
    </row>
    <row r="28" spans="2:27">
      <c r="B28" s="34">
        <v>46046</v>
      </c>
      <c r="C28" s="9">
        <v>91.38</v>
      </c>
      <c r="D28" s="11">
        <v>272.8</v>
      </c>
      <c r="E28" s="11">
        <v>16.46</v>
      </c>
      <c r="F28" s="10">
        <f t="shared" si="2"/>
        <v>380.64</v>
      </c>
      <c r="G28" s="9">
        <v>124.66</v>
      </c>
      <c r="H28" s="11">
        <v>136.72999999999999</v>
      </c>
      <c r="I28" s="10">
        <f t="shared" si="3"/>
        <v>261.39</v>
      </c>
      <c r="J28" s="9">
        <v>1965.85</v>
      </c>
      <c r="K28" s="10">
        <v>2088.54</v>
      </c>
      <c r="L28" s="9">
        <v>14.61</v>
      </c>
      <c r="M28" s="10">
        <v>16.559999999999999</v>
      </c>
      <c r="N28" s="9">
        <v>125.04</v>
      </c>
      <c r="O28" s="11">
        <v>103.68</v>
      </c>
      <c r="P28" s="11">
        <v>21.36</v>
      </c>
      <c r="Q28" s="10">
        <f t="shared" si="4"/>
        <v>82.91746641074856</v>
      </c>
      <c r="R28" s="9">
        <v>2987</v>
      </c>
      <c r="S28" s="11">
        <v>48</v>
      </c>
      <c r="T28" s="10">
        <v>337</v>
      </c>
      <c r="U28" s="9">
        <v>0</v>
      </c>
      <c r="V28" s="11">
        <v>66.790000000000006</v>
      </c>
      <c r="W28" s="11">
        <v>85</v>
      </c>
      <c r="X28" s="10">
        <v>0</v>
      </c>
      <c r="Y28" s="9">
        <v>0</v>
      </c>
      <c r="Z28" s="8">
        <v>0</v>
      </c>
      <c r="AA28" s="7" t="s">
        <v>6</v>
      </c>
    </row>
    <row r="29" spans="2:27">
      <c r="B29" s="34">
        <v>46047</v>
      </c>
      <c r="C29" s="9">
        <v>0</v>
      </c>
      <c r="D29" s="11">
        <v>0</v>
      </c>
      <c r="E29" s="11">
        <v>0</v>
      </c>
      <c r="F29" s="10">
        <f t="shared" si="2"/>
        <v>0</v>
      </c>
      <c r="G29" s="9">
        <v>123.61</v>
      </c>
      <c r="H29" s="11">
        <v>135.07</v>
      </c>
      <c r="I29" s="10">
        <f t="shared" si="3"/>
        <v>258.68</v>
      </c>
      <c r="J29" s="9">
        <v>1990.26</v>
      </c>
      <c r="K29" s="10">
        <v>2124.12</v>
      </c>
      <c r="L29" s="9">
        <v>15.01</v>
      </c>
      <c r="M29" s="10">
        <v>17.13</v>
      </c>
      <c r="N29" s="9">
        <v>130.08000000000001</v>
      </c>
      <c r="O29" s="11">
        <v>108.96</v>
      </c>
      <c r="P29" s="11">
        <v>21.12</v>
      </c>
      <c r="Q29" s="10">
        <f t="shared" si="4"/>
        <v>83.763837638376373</v>
      </c>
      <c r="R29" s="9">
        <v>3049</v>
      </c>
      <c r="S29" s="11">
        <v>48</v>
      </c>
      <c r="T29" s="10">
        <v>392</v>
      </c>
      <c r="U29" s="9">
        <v>0</v>
      </c>
      <c r="V29" s="11">
        <v>53.93</v>
      </c>
      <c r="W29" s="11">
        <v>105</v>
      </c>
      <c r="X29" s="10">
        <v>0</v>
      </c>
      <c r="Y29" s="9">
        <v>0</v>
      </c>
      <c r="Z29" s="8">
        <v>0</v>
      </c>
      <c r="AA29" s="7" t="s">
        <v>5</v>
      </c>
    </row>
    <row r="30" spans="2:27">
      <c r="B30" s="34">
        <v>46048</v>
      </c>
      <c r="C30" s="9">
        <v>152.52000000000001</v>
      </c>
      <c r="D30" s="11">
        <v>193.25</v>
      </c>
      <c r="E30" s="11">
        <v>50.02</v>
      </c>
      <c r="F30" s="10">
        <f t="shared" si="2"/>
        <v>395.78999999999996</v>
      </c>
      <c r="G30" s="9">
        <v>119.15</v>
      </c>
      <c r="H30" s="11">
        <v>123.36</v>
      </c>
      <c r="I30" s="10">
        <f t="shared" si="3"/>
        <v>242.51</v>
      </c>
      <c r="J30" s="9">
        <v>1960.12</v>
      </c>
      <c r="K30" s="10">
        <v>2137.63</v>
      </c>
      <c r="L30" s="9">
        <v>14.54</v>
      </c>
      <c r="M30" s="10">
        <v>17.329999999999998</v>
      </c>
      <c r="N30" s="9">
        <v>128.88</v>
      </c>
      <c r="O30" s="11">
        <v>106.32</v>
      </c>
      <c r="P30" s="11">
        <v>22.56</v>
      </c>
      <c r="Q30" s="10">
        <f t="shared" si="4"/>
        <v>82.495344506517682</v>
      </c>
      <c r="R30" s="9">
        <v>2567</v>
      </c>
      <c r="S30" s="11">
        <v>48</v>
      </c>
      <c r="T30" s="10">
        <v>434</v>
      </c>
      <c r="U30" s="9">
        <v>0</v>
      </c>
      <c r="V30" s="11">
        <v>44.77</v>
      </c>
      <c r="W30" s="11">
        <v>55</v>
      </c>
      <c r="X30" s="10">
        <v>0</v>
      </c>
      <c r="Y30" s="9">
        <v>44.76</v>
      </c>
      <c r="Z30" s="8">
        <v>63.26</v>
      </c>
      <c r="AA30" s="7" t="s">
        <v>4</v>
      </c>
    </row>
    <row r="31" spans="2:27">
      <c r="B31" s="34">
        <v>46049</v>
      </c>
      <c r="C31" s="9">
        <v>120.74</v>
      </c>
      <c r="D31" s="11">
        <v>277.92</v>
      </c>
      <c r="E31" s="11">
        <v>24.95</v>
      </c>
      <c r="F31" s="10">
        <f t="shared" si="2"/>
        <v>423.61</v>
      </c>
      <c r="G31" s="9">
        <v>122.38</v>
      </c>
      <c r="H31" s="11">
        <v>129.66</v>
      </c>
      <c r="I31" s="10">
        <f t="shared" si="3"/>
        <v>252.04</v>
      </c>
      <c r="J31" s="9">
        <v>1969.41</v>
      </c>
      <c r="K31" s="10">
        <v>2097.13</v>
      </c>
      <c r="L31" s="9">
        <v>14.67</v>
      </c>
      <c r="M31" s="10">
        <v>16.690000000000001</v>
      </c>
      <c r="N31" s="9">
        <v>126.24</v>
      </c>
      <c r="O31" s="11">
        <v>103.2</v>
      </c>
      <c r="P31" s="11">
        <v>23.04</v>
      </c>
      <c r="Q31" s="10">
        <f t="shared" si="4"/>
        <v>81.749049429657802</v>
      </c>
      <c r="R31" s="9">
        <v>2512</v>
      </c>
      <c r="S31" s="11">
        <v>48</v>
      </c>
      <c r="T31" s="10">
        <v>355</v>
      </c>
      <c r="U31" s="9">
        <v>0</v>
      </c>
      <c r="V31" s="11">
        <v>50.83</v>
      </c>
      <c r="W31" s="11">
        <v>61</v>
      </c>
      <c r="X31" s="10">
        <v>0</v>
      </c>
      <c r="Y31" s="9">
        <v>48.14</v>
      </c>
      <c r="Z31" s="8">
        <v>63.1</v>
      </c>
      <c r="AA31" s="7" t="s">
        <v>184</v>
      </c>
    </row>
    <row r="32" spans="2:27">
      <c r="B32" s="34">
        <v>46050</v>
      </c>
      <c r="C32" s="9">
        <v>27.6</v>
      </c>
      <c r="D32" s="11">
        <v>195.61</v>
      </c>
      <c r="E32" s="11">
        <v>17.989999999999998</v>
      </c>
      <c r="F32" s="10">
        <f t="shared" si="2"/>
        <v>241.20000000000002</v>
      </c>
      <c r="G32" s="9">
        <v>127.81</v>
      </c>
      <c r="H32" s="11">
        <v>131.26</v>
      </c>
      <c r="I32" s="10">
        <f t="shared" si="3"/>
        <v>259.07</v>
      </c>
      <c r="J32" s="9">
        <v>1995.07</v>
      </c>
      <c r="K32" s="10">
        <v>2152.85</v>
      </c>
      <c r="L32" s="9">
        <v>15.09</v>
      </c>
      <c r="M32" s="10">
        <v>17.579999999999998</v>
      </c>
      <c r="N32" s="9">
        <v>133.44</v>
      </c>
      <c r="O32" s="11">
        <v>109.92</v>
      </c>
      <c r="P32" s="11">
        <v>23.52</v>
      </c>
      <c r="Q32" s="10">
        <f t="shared" si="4"/>
        <v>82.374100719424462</v>
      </c>
      <c r="R32" s="9">
        <v>3058</v>
      </c>
      <c r="S32" s="11">
        <v>48</v>
      </c>
      <c r="T32" s="10">
        <v>394</v>
      </c>
      <c r="U32" s="9">
        <v>0</v>
      </c>
      <c r="V32" s="11">
        <v>44.3</v>
      </c>
      <c r="W32" s="11">
        <v>63</v>
      </c>
      <c r="X32" s="10">
        <v>0</v>
      </c>
      <c r="Y32" s="9">
        <v>44.83</v>
      </c>
      <c r="Z32" s="8">
        <v>60.96</v>
      </c>
      <c r="AA32" s="102" t="s">
        <v>139</v>
      </c>
    </row>
    <row r="33" spans="2:27">
      <c r="B33" s="34">
        <v>46051</v>
      </c>
      <c r="C33" s="9">
        <v>145.29</v>
      </c>
      <c r="D33" s="11">
        <v>294.93</v>
      </c>
      <c r="E33" s="11">
        <v>35.97</v>
      </c>
      <c r="F33" s="10">
        <f t="shared" si="2"/>
        <v>476.19000000000005</v>
      </c>
      <c r="G33" s="9">
        <v>118.05</v>
      </c>
      <c r="H33" s="11">
        <v>123.49</v>
      </c>
      <c r="I33" s="10">
        <f t="shared" si="3"/>
        <v>241.54</v>
      </c>
      <c r="J33" s="9">
        <v>1993.28</v>
      </c>
      <c r="K33" s="10">
        <v>2120.4699999999998</v>
      </c>
      <c r="L33" s="9">
        <v>15.03</v>
      </c>
      <c r="M33" s="10">
        <v>17.07</v>
      </c>
      <c r="N33" s="9">
        <v>130.08000000000001</v>
      </c>
      <c r="O33" s="11">
        <v>106.56</v>
      </c>
      <c r="P33" s="11">
        <v>23.52</v>
      </c>
      <c r="Q33" s="10">
        <f t="shared" si="4"/>
        <v>81.918819188191875</v>
      </c>
      <c r="R33" s="9">
        <v>3008</v>
      </c>
      <c r="S33" s="11">
        <v>48</v>
      </c>
      <c r="T33" s="10">
        <v>258</v>
      </c>
      <c r="U33" s="9">
        <v>0</v>
      </c>
      <c r="V33" s="11">
        <v>55.37</v>
      </c>
      <c r="W33" s="11">
        <v>62</v>
      </c>
      <c r="X33" s="10">
        <v>0</v>
      </c>
      <c r="Y33" s="9">
        <v>44.68</v>
      </c>
      <c r="Z33" s="8">
        <v>61.8</v>
      </c>
      <c r="AA33" s="101" t="s">
        <v>140</v>
      </c>
    </row>
    <row r="34" spans="2:27">
      <c r="B34" s="34">
        <v>46052</v>
      </c>
      <c r="C34" s="9">
        <v>116.41</v>
      </c>
      <c r="D34" s="11">
        <v>242.4</v>
      </c>
      <c r="E34" s="11">
        <v>40.159999999999997</v>
      </c>
      <c r="F34" s="10">
        <f>SUM(C34:E34)</f>
        <v>398.97</v>
      </c>
      <c r="G34" s="9">
        <v>125.37</v>
      </c>
      <c r="H34" s="11">
        <v>129.56</v>
      </c>
      <c r="I34" s="10">
        <f>SUM(G34:H34)</f>
        <v>254.93</v>
      </c>
      <c r="J34" s="9">
        <v>1969.5</v>
      </c>
      <c r="K34" s="10">
        <v>2063.88</v>
      </c>
      <c r="L34" s="9">
        <v>14.66</v>
      </c>
      <c r="M34" s="10">
        <v>16.16</v>
      </c>
      <c r="N34" s="9">
        <v>124.08</v>
      </c>
      <c r="O34" s="11">
        <v>101.04</v>
      </c>
      <c r="P34" s="11">
        <v>23.04</v>
      </c>
      <c r="Q34" s="10">
        <f>O34/N34*100</f>
        <v>81.431334622823996</v>
      </c>
      <c r="R34" s="9">
        <v>2704</v>
      </c>
      <c r="S34" s="11">
        <v>48</v>
      </c>
      <c r="T34" s="10">
        <v>334</v>
      </c>
      <c r="U34" s="9">
        <v>0</v>
      </c>
      <c r="V34" s="11">
        <v>47.21</v>
      </c>
      <c r="W34" s="11">
        <v>65</v>
      </c>
      <c r="X34" s="10">
        <v>0</v>
      </c>
      <c r="Y34" s="9">
        <v>24.75</v>
      </c>
      <c r="Z34" s="8">
        <v>62.96</v>
      </c>
      <c r="AA34" s="101" t="s">
        <v>141</v>
      </c>
    </row>
    <row r="35" spans="2:27" ht="17.25" thickBot="1">
      <c r="B35" s="33">
        <v>46053</v>
      </c>
      <c r="C35" s="3">
        <v>102.56</v>
      </c>
      <c r="D35" s="5">
        <v>152.52000000000001</v>
      </c>
      <c r="E35" s="5">
        <v>15.59</v>
      </c>
      <c r="F35" s="4">
        <f>SUM(C35:E35)</f>
        <v>270.67</v>
      </c>
      <c r="G35" s="3">
        <v>122.65</v>
      </c>
      <c r="H35" s="5">
        <v>126.47</v>
      </c>
      <c r="I35" s="4">
        <f>SUM(G35:H35)</f>
        <v>249.12</v>
      </c>
      <c r="J35" s="3">
        <v>1978.59</v>
      </c>
      <c r="K35" s="4">
        <v>2110.44</v>
      </c>
      <c r="L35" s="3">
        <v>14.82</v>
      </c>
      <c r="M35" s="4">
        <v>16.91</v>
      </c>
      <c r="N35" s="3">
        <v>127.2</v>
      </c>
      <c r="O35" s="5">
        <v>103.92</v>
      </c>
      <c r="P35" s="5">
        <v>23.28</v>
      </c>
      <c r="Q35" s="4">
        <f>O35/N35*100</f>
        <v>81.698113207547181</v>
      </c>
      <c r="R35" s="3">
        <v>3388</v>
      </c>
      <c r="S35" s="5">
        <v>48</v>
      </c>
      <c r="T35" s="4">
        <v>255</v>
      </c>
      <c r="U35" s="3">
        <v>0</v>
      </c>
      <c r="V35" s="5">
        <v>47.21</v>
      </c>
      <c r="W35" s="5">
        <v>66</v>
      </c>
      <c r="X35" s="4">
        <v>0</v>
      </c>
      <c r="Y35" s="3">
        <v>0</v>
      </c>
      <c r="Z35" s="2">
        <v>0</v>
      </c>
      <c r="AA35" s="1" t="s">
        <v>142</v>
      </c>
    </row>
    <row r="36" spans="2:27" ht="17.25" thickBot="1"/>
    <row r="37" spans="2:27" ht="27" customHeight="1" thickBot="1">
      <c r="B37" s="194"/>
      <c r="C37" s="196" t="s">
        <v>68</v>
      </c>
      <c r="D37" s="197"/>
      <c r="E37" s="197"/>
      <c r="F37" s="198"/>
      <c r="G37" s="199" t="s">
        <v>67</v>
      </c>
      <c r="H37" s="200"/>
      <c r="I37" s="201"/>
      <c r="J37" s="196" t="s">
        <v>66</v>
      </c>
      <c r="K37" s="198"/>
      <c r="L37" s="202" t="s">
        <v>65</v>
      </c>
      <c r="M37" s="198"/>
      <c r="N37" s="203" t="s">
        <v>64</v>
      </c>
      <c r="O37" s="204"/>
      <c r="P37" s="204"/>
      <c r="Q37" s="205"/>
      <c r="R37" s="196" t="s">
        <v>63</v>
      </c>
      <c r="S37" s="197"/>
      <c r="T37" s="198"/>
      <c r="U37" s="196" t="s">
        <v>62</v>
      </c>
      <c r="V37" s="197"/>
      <c r="W37" s="197"/>
      <c r="X37" s="198"/>
      <c r="Y37" s="196" t="s">
        <v>61</v>
      </c>
      <c r="Z37" s="197"/>
      <c r="AA37" s="192" t="s">
        <v>49</v>
      </c>
    </row>
    <row r="38" spans="2:27" ht="27" customHeight="1" thickBot="1">
      <c r="B38" s="195"/>
      <c r="C38" s="25" t="s">
        <v>48</v>
      </c>
      <c r="D38" s="27" t="s">
        <v>47</v>
      </c>
      <c r="E38" s="27" t="s">
        <v>46</v>
      </c>
      <c r="F38" s="26" t="s">
        <v>45</v>
      </c>
      <c r="G38" s="25" t="s">
        <v>43</v>
      </c>
      <c r="H38" s="27" t="s">
        <v>42</v>
      </c>
      <c r="I38" s="26" t="s">
        <v>44</v>
      </c>
      <c r="J38" s="25" t="s">
        <v>43</v>
      </c>
      <c r="K38" s="26" t="s">
        <v>42</v>
      </c>
      <c r="L38" s="25" t="s">
        <v>43</v>
      </c>
      <c r="M38" s="26" t="s">
        <v>42</v>
      </c>
      <c r="N38" s="31" t="s">
        <v>41</v>
      </c>
      <c r="O38" s="30" t="s">
        <v>40</v>
      </c>
      <c r="P38" s="30" t="s">
        <v>39</v>
      </c>
      <c r="Q38" s="29" t="s">
        <v>38</v>
      </c>
      <c r="R38" s="108" t="s">
        <v>143</v>
      </c>
      <c r="S38" s="107" t="s">
        <v>144</v>
      </c>
      <c r="T38" s="26" t="s">
        <v>37</v>
      </c>
      <c r="U38" s="25" t="s">
        <v>36</v>
      </c>
      <c r="V38" s="28" t="s">
        <v>35</v>
      </c>
      <c r="W38" s="27" t="s">
        <v>34</v>
      </c>
      <c r="X38" s="26" t="s">
        <v>33</v>
      </c>
      <c r="Y38" s="25" t="s">
        <v>32</v>
      </c>
      <c r="Z38" s="24" t="s">
        <v>31</v>
      </c>
      <c r="AA38" s="193"/>
    </row>
    <row r="39" spans="2:27" ht="20.25" customHeight="1" thickBot="1">
      <c r="B39" s="123" t="s">
        <v>145</v>
      </c>
      <c r="C39" s="20">
        <f t="shared" ref="C39:I39" si="5">SUM(C40:C67)</f>
        <v>196.87</v>
      </c>
      <c r="D39" s="22">
        <f t="shared" si="5"/>
        <v>244.08</v>
      </c>
      <c r="E39" s="22">
        <f t="shared" si="5"/>
        <v>41.74</v>
      </c>
      <c r="F39" s="21">
        <f t="shared" si="5"/>
        <v>482.69000000000005</v>
      </c>
      <c r="G39" s="20">
        <f t="shared" si="5"/>
        <v>125.86</v>
      </c>
      <c r="H39" s="22">
        <f t="shared" si="5"/>
        <v>131.6</v>
      </c>
      <c r="I39" s="21">
        <f t="shared" si="5"/>
        <v>257.45999999999998</v>
      </c>
      <c r="J39" s="20">
        <f>IFERROR(AVERAGE(J40:J67),0)</f>
        <v>2010.77</v>
      </c>
      <c r="K39" s="21">
        <f>IFERROR(AVERAGE(K40:K67),0)</f>
        <v>2124.0500000000002</v>
      </c>
      <c r="L39" s="20">
        <f>IFERROR(AVERAGE(L40:L67),0)</f>
        <v>15.33</v>
      </c>
      <c r="M39" s="21">
        <f>IFERROR(AVERAGE(M40:M67),0)</f>
        <v>17.11</v>
      </c>
      <c r="N39" s="20">
        <f>SUM(N40:N67)</f>
        <v>132</v>
      </c>
      <c r="O39" s="22">
        <f>SUM(O40:O67)</f>
        <v>108.96</v>
      </c>
      <c r="P39" s="22">
        <f>SUM(P40:P67)</f>
        <v>23.04</v>
      </c>
      <c r="Q39" s="21">
        <f>IFERROR(O39/N39*100,0)</f>
        <v>82.545454545454547</v>
      </c>
      <c r="R39" s="20">
        <f t="shared" ref="R39:Z39" si="6">SUM(R40:R67)</f>
        <v>2932</v>
      </c>
      <c r="S39" s="22">
        <f t="shared" si="6"/>
        <v>48</v>
      </c>
      <c r="T39" s="21">
        <f t="shared" si="6"/>
        <v>394</v>
      </c>
      <c r="U39" s="20">
        <f t="shared" si="6"/>
        <v>0</v>
      </c>
      <c r="V39" s="22">
        <f t="shared" si="6"/>
        <v>55.71</v>
      </c>
      <c r="W39" s="22">
        <f t="shared" si="6"/>
        <v>67</v>
      </c>
      <c r="X39" s="21">
        <f t="shared" si="6"/>
        <v>0</v>
      </c>
      <c r="Y39" s="20">
        <f t="shared" si="6"/>
        <v>0</v>
      </c>
      <c r="Z39" s="19">
        <f t="shared" si="6"/>
        <v>0</v>
      </c>
      <c r="AA39" s="18"/>
    </row>
    <row r="40" spans="2:27">
      <c r="B40" s="12">
        <v>46054</v>
      </c>
      <c r="C40" s="15">
        <v>0</v>
      </c>
      <c r="D40" s="17">
        <v>0</v>
      </c>
      <c r="E40" s="17">
        <v>0</v>
      </c>
      <c r="F40" s="16">
        <f t="shared" ref="F40:F67" si="7">SUM(C40:E40)</f>
        <v>0</v>
      </c>
      <c r="G40" s="15">
        <v>125.86</v>
      </c>
      <c r="H40" s="17">
        <v>131.6</v>
      </c>
      <c r="I40" s="16">
        <f t="shared" ref="I40:I67" si="8">SUM(G40:H40)</f>
        <v>257.45999999999998</v>
      </c>
      <c r="J40" s="15">
        <v>2010.77</v>
      </c>
      <c r="K40" s="16">
        <v>2124.0500000000002</v>
      </c>
      <c r="L40" s="15">
        <v>15.33</v>
      </c>
      <c r="M40" s="16">
        <v>17.11</v>
      </c>
      <c r="N40" s="15">
        <v>132</v>
      </c>
      <c r="O40" s="17">
        <v>108.96</v>
      </c>
      <c r="P40" s="17">
        <v>23.04</v>
      </c>
      <c r="Q40" s="16">
        <f t="shared" ref="Q40:Q67" si="9">O40/N40*100</f>
        <v>82.545454545454547</v>
      </c>
      <c r="R40" s="15">
        <v>2932</v>
      </c>
      <c r="S40" s="17">
        <v>48</v>
      </c>
      <c r="T40" s="16">
        <v>394</v>
      </c>
      <c r="U40" s="15">
        <v>0</v>
      </c>
      <c r="V40" s="17">
        <v>55.71</v>
      </c>
      <c r="W40" s="17">
        <v>67</v>
      </c>
      <c r="X40" s="16">
        <v>0</v>
      </c>
      <c r="Y40" s="15">
        <v>0</v>
      </c>
      <c r="Z40" s="14">
        <v>0</v>
      </c>
      <c r="AA40" s="13" t="s">
        <v>176</v>
      </c>
    </row>
    <row r="41" spans="2:27">
      <c r="B41" s="12">
        <v>46055</v>
      </c>
      <c r="C41" s="9">
        <v>196.87</v>
      </c>
      <c r="D41" s="11">
        <v>244.08</v>
      </c>
      <c r="E41" s="11">
        <v>41.74</v>
      </c>
      <c r="F41" s="10">
        <f t="shared" si="7"/>
        <v>482.69000000000005</v>
      </c>
      <c r="G41" s="9"/>
      <c r="H41" s="11"/>
      <c r="I41" s="10">
        <f t="shared" si="8"/>
        <v>0</v>
      </c>
      <c r="J41" s="9"/>
      <c r="K41" s="10"/>
      <c r="L41" s="9"/>
      <c r="M41" s="10"/>
      <c r="N41" s="9"/>
      <c r="O41" s="11"/>
      <c r="P41" s="11"/>
      <c r="Q41" s="10" t="e">
        <f t="shared" si="9"/>
        <v>#DIV/0!</v>
      </c>
      <c r="R41" s="9"/>
      <c r="S41" s="11"/>
      <c r="T41" s="10"/>
      <c r="U41" s="9"/>
      <c r="V41" s="11"/>
      <c r="W41" s="11"/>
      <c r="X41" s="10"/>
      <c r="Y41" s="9"/>
      <c r="Z41" s="8"/>
      <c r="AA41" s="102" t="s">
        <v>177</v>
      </c>
    </row>
    <row r="42" spans="2:27">
      <c r="B42" s="12">
        <v>46056</v>
      </c>
      <c r="C42" s="9"/>
      <c r="D42" s="11"/>
      <c r="E42" s="11"/>
      <c r="F42" s="10">
        <f t="shared" si="7"/>
        <v>0</v>
      </c>
      <c r="G42" s="9"/>
      <c r="H42" s="11"/>
      <c r="I42" s="10">
        <f t="shared" si="8"/>
        <v>0</v>
      </c>
      <c r="J42" s="9"/>
      <c r="K42" s="10"/>
      <c r="L42" s="9"/>
      <c r="M42" s="10"/>
      <c r="N42" s="9"/>
      <c r="O42" s="11"/>
      <c r="P42" s="11"/>
      <c r="Q42" s="10" t="e">
        <f t="shared" si="9"/>
        <v>#DIV/0!</v>
      </c>
      <c r="R42" s="9"/>
      <c r="S42" s="11"/>
      <c r="T42" s="10"/>
      <c r="U42" s="9"/>
      <c r="V42" s="11"/>
      <c r="W42" s="11"/>
      <c r="X42" s="10"/>
      <c r="Y42" s="9"/>
      <c r="Z42" s="8"/>
      <c r="AA42" s="7" t="s">
        <v>178</v>
      </c>
    </row>
    <row r="43" spans="2:27">
      <c r="B43" s="12">
        <v>46057</v>
      </c>
      <c r="C43" s="9"/>
      <c r="D43" s="11"/>
      <c r="E43" s="11"/>
      <c r="F43" s="10">
        <f t="shared" si="7"/>
        <v>0</v>
      </c>
      <c r="G43" s="9"/>
      <c r="H43" s="11"/>
      <c r="I43" s="10">
        <f t="shared" si="8"/>
        <v>0</v>
      </c>
      <c r="J43" s="9"/>
      <c r="K43" s="10"/>
      <c r="L43" s="9"/>
      <c r="M43" s="10"/>
      <c r="N43" s="9"/>
      <c r="O43" s="11"/>
      <c r="P43" s="11"/>
      <c r="Q43" s="10" t="e">
        <f t="shared" si="9"/>
        <v>#DIV/0!</v>
      </c>
      <c r="R43" s="9"/>
      <c r="S43" s="11"/>
      <c r="T43" s="10"/>
      <c r="U43" s="9"/>
      <c r="V43" s="11"/>
      <c r="W43" s="11"/>
      <c r="X43" s="10"/>
      <c r="Y43" s="9"/>
      <c r="Z43" s="8"/>
      <c r="AA43" s="7" t="s">
        <v>179</v>
      </c>
    </row>
    <row r="44" spans="2:27">
      <c r="B44" s="12">
        <v>46058</v>
      </c>
      <c r="C44" s="9"/>
      <c r="D44" s="11"/>
      <c r="E44" s="11"/>
      <c r="F44" s="10">
        <f t="shared" si="7"/>
        <v>0</v>
      </c>
      <c r="G44" s="9"/>
      <c r="H44" s="11"/>
      <c r="I44" s="10">
        <f t="shared" si="8"/>
        <v>0</v>
      </c>
      <c r="J44" s="9"/>
      <c r="K44" s="10"/>
      <c r="L44" s="9"/>
      <c r="M44" s="10"/>
      <c r="N44" s="9"/>
      <c r="O44" s="11"/>
      <c r="P44" s="11"/>
      <c r="Q44" s="10" t="e">
        <f t="shared" si="9"/>
        <v>#DIV/0!</v>
      </c>
      <c r="R44" s="9"/>
      <c r="S44" s="11"/>
      <c r="T44" s="10"/>
      <c r="U44" s="9"/>
      <c r="V44" s="11"/>
      <c r="W44" s="11"/>
      <c r="X44" s="10"/>
      <c r="Y44" s="9"/>
      <c r="Z44" s="8"/>
      <c r="AA44" s="7" t="s">
        <v>180</v>
      </c>
    </row>
    <row r="45" spans="2:27">
      <c r="B45" s="12">
        <v>46059</v>
      </c>
      <c r="C45" s="9"/>
      <c r="D45" s="11"/>
      <c r="E45" s="11"/>
      <c r="F45" s="10">
        <f t="shared" si="7"/>
        <v>0</v>
      </c>
      <c r="G45" s="9"/>
      <c r="H45" s="11"/>
      <c r="I45" s="10">
        <f t="shared" si="8"/>
        <v>0</v>
      </c>
      <c r="J45" s="9"/>
      <c r="K45" s="10"/>
      <c r="L45" s="9"/>
      <c r="M45" s="10"/>
      <c r="N45" s="9"/>
      <c r="O45" s="11"/>
      <c r="P45" s="11"/>
      <c r="Q45" s="10" t="e">
        <f t="shared" si="9"/>
        <v>#DIV/0!</v>
      </c>
      <c r="R45" s="9"/>
      <c r="S45" s="11"/>
      <c r="T45" s="10"/>
      <c r="U45" s="9"/>
      <c r="V45" s="11"/>
      <c r="W45" s="11"/>
      <c r="X45" s="10"/>
      <c r="Y45" s="9"/>
      <c r="Z45" s="8"/>
      <c r="AA45" s="7" t="s">
        <v>24</v>
      </c>
    </row>
    <row r="46" spans="2:27">
      <c r="B46" s="12">
        <v>46060</v>
      </c>
      <c r="C46" s="9"/>
      <c r="D46" s="11"/>
      <c r="E46" s="11"/>
      <c r="F46" s="10">
        <f t="shared" si="7"/>
        <v>0</v>
      </c>
      <c r="G46" s="9"/>
      <c r="H46" s="11"/>
      <c r="I46" s="10">
        <f t="shared" si="8"/>
        <v>0</v>
      </c>
      <c r="J46" s="9"/>
      <c r="K46" s="10"/>
      <c r="L46" s="9"/>
      <c r="M46" s="10"/>
      <c r="N46" s="9"/>
      <c r="O46" s="11"/>
      <c r="P46" s="11"/>
      <c r="Q46" s="10" t="e">
        <f t="shared" si="9"/>
        <v>#DIV/0!</v>
      </c>
      <c r="R46" s="9"/>
      <c r="S46" s="11"/>
      <c r="T46" s="10"/>
      <c r="U46" s="9"/>
      <c r="V46" s="11"/>
      <c r="W46" s="11"/>
      <c r="X46" s="10"/>
      <c r="Y46" s="9"/>
      <c r="Z46" s="8"/>
      <c r="AA46" s="7" t="s">
        <v>23</v>
      </c>
    </row>
    <row r="47" spans="2:27">
      <c r="B47" s="12">
        <v>46061</v>
      </c>
      <c r="C47" s="9"/>
      <c r="D47" s="11"/>
      <c r="E47" s="11"/>
      <c r="F47" s="10">
        <f t="shared" si="7"/>
        <v>0</v>
      </c>
      <c r="G47" s="9"/>
      <c r="H47" s="11"/>
      <c r="I47" s="10">
        <f t="shared" si="8"/>
        <v>0</v>
      </c>
      <c r="J47" s="9"/>
      <c r="K47" s="10"/>
      <c r="L47" s="9"/>
      <c r="M47" s="10"/>
      <c r="N47" s="9"/>
      <c r="O47" s="11"/>
      <c r="P47" s="11"/>
      <c r="Q47" s="10" t="e">
        <f t="shared" si="9"/>
        <v>#DIV/0!</v>
      </c>
      <c r="R47" s="9"/>
      <c r="S47" s="11"/>
      <c r="T47" s="10"/>
      <c r="U47" s="9"/>
      <c r="V47" s="11"/>
      <c r="W47" s="11"/>
      <c r="X47" s="10"/>
      <c r="Y47" s="9"/>
      <c r="Z47" s="8"/>
      <c r="AA47" s="7" t="s">
        <v>22</v>
      </c>
    </row>
    <row r="48" spans="2:27">
      <c r="B48" s="12">
        <v>46062</v>
      </c>
      <c r="C48" s="9"/>
      <c r="D48" s="11"/>
      <c r="E48" s="11"/>
      <c r="F48" s="10">
        <f t="shared" si="7"/>
        <v>0</v>
      </c>
      <c r="G48" s="9"/>
      <c r="H48" s="11"/>
      <c r="I48" s="10">
        <f t="shared" si="8"/>
        <v>0</v>
      </c>
      <c r="J48" s="9"/>
      <c r="K48" s="10"/>
      <c r="L48" s="9"/>
      <c r="M48" s="10"/>
      <c r="N48" s="9"/>
      <c r="O48" s="11"/>
      <c r="P48" s="11"/>
      <c r="Q48" s="10" t="e">
        <f t="shared" si="9"/>
        <v>#DIV/0!</v>
      </c>
      <c r="R48" s="9"/>
      <c r="S48" s="11"/>
      <c r="T48" s="10"/>
      <c r="U48" s="9"/>
      <c r="V48" s="11"/>
      <c r="W48" s="11"/>
      <c r="X48" s="10"/>
      <c r="Y48" s="9"/>
      <c r="Z48" s="8"/>
      <c r="AA48" s="7" t="s">
        <v>21</v>
      </c>
    </row>
    <row r="49" spans="2:27">
      <c r="B49" s="12">
        <v>46063</v>
      </c>
      <c r="C49" s="9"/>
      <c r="D49" s="11"/>
      <c r="E49" s="11"/>
      <c r="F49" s="10">
        <f t="shared" si="7"/>
        <v>0</v>
      </c>
      <c r="G49" s="9"/>
      <c r="H49" s="11"/>
      <c r="I49" s="10">
        <f t="shared" si="8"/>
        <v>0</v>
      </c>
      <c r="J49" s="9"/>
      <c r="K49" s="10"/>
      <c r="L49" s="9"/>
      <c r="M49" s="10"/>
      <c r="N49" s="9"/>
      <c r="O49" s="11"/>
      <c r="P49" s="11"/>
      <c r="Q49" s="10" t="e">
        <f t="shared" si="9"/>
        <v>#DIV/0!</v>
      </c>
      <c r="R49" s="9"/>
      <c r="S49" s="11"/>
      <c r="T49" s="10"/>
      <c r="U49" s="9"/>
      <c r="V49" s="11"/>
      <c r="W49" s="11"/>
      <c r="X49" s="10"/>
      <c r="Y49" s="9"/>
      <c r="Z49" s="8"/>
      <c r="AA49" s="7" t="s">
        <v>20</v>
      </c>
    </row>
    <row r="50" spans="2:27">
      <c r="B50" s="12">
        <v>46064</v>
      </c>
      <c r="C50" s="9"/>
      <c r="D50" s="11"/>
      <c r="E50" s="11"/>
      <c r="F50" s="10">
        <f t="shared" si="7"/>
        <v>0</v>
      </c>
      <c r="G50" s="9"/>
      <c r="H50" s="11"/>
      <c r="I50" s="10">
        <f t="shared" si="8"/>
        <v>0</v>
      </c>
      <c r="J50" s="9"/>
      <c r="K50" s="10"/>
      <c r="L50" s="9"/>
      <c r="M50" s="10"/>
      <c r="N50" s="9"/>
      <c r="O50" s="11"/>
      <c r="P50" s="11"/>
      <c r="Q50" s="10" t="e">
        <f t="shared" si="9"/>
        <v>#DIV/0!</v>
      </c>
      <c r="R50" s="9"/>
      <c r="S50" s="11"/>
      <c r="T50" s="10"/>
      <c r="U50" s="9"/>
      <c r="V50" s="11"/>
      <c r="W50" s="11"/>
      <c r="X50" s="10"/>
      <c r="Y50" s="9"/>
      <c r="Z50" s="8"/>
      <c r="AA50" s="7" t="s">
        <v>19</v>
      </c>
    </row>
    <row r="51" spans="2:27">
      <c r="B51" s="12">
        <v>46065</v>
      </c>
      <c r="C51" s="9"/>
      <c r="D51" s="11"/>
      <c r="E51" s="11"/>
      <c r="F51" s="10">
        <f t="shared" si="7"/>
        <v>0</v>
      </c>
      <c r="G51" s="9"/>
      <c r="H51" s="11"/>
      <c r="I51" s="10">
        <f t="shared" si="8"/>
        <v>0</v>
      </c>
      <c r="J51" s="9"/>
      <c r="K51" s="10"/>
      <c r="L51" s="9"/>
      <c r="M51" s="10"/>
      <c r="N51" s="9"/>
      <c r="O51" s="11"/>
      <c r="P51" s="11"/>
      <c r="Q51" s="10" t="e">
        <f t="shared" si="9"/>
        <v>#DIV/0!</v>
      </c>
      <c r="R51" s="9"/>
      <c r="S51" s="11"/>
      <c r="T51" s="10"/>
      <c r="U51" s="9"/>
      <c r="V51" s="11"/>
      <c r="W51" s="11"/>
      <c r="X51" s="10"/>
      <c r="Y51" s="9"/>
      <c r="Z51" s="8"/>
      <c r="AA51" s="7" t="s">
        <v>18</v>
      </c>
    </row>
    <row r="52" spans="2:27">
      <c r="B52" s="12">
        <v>46066</v>
      </c>
      <c r="C52" s="9"/>
      <c r="D52" s="11"/>
      <c r="E52" s="11"/>
      <c r="F52" s="10">
        <f t="shared" si="7"/>
        <v>0</v>
      </c>
      <c r="G52" s="9"/>
      <c r="H52" s="11"/>
      <c r="I52" s="10">
        <f t="shared" si="8"/>
        <v>0</v>
      </c>
      <c r="J52" s="9"/>
      <c r="K52" s="10"/>
      <c r="L52" s="9"/>
      <c r="M52" s="10"/>
      <c r="N52" s="9"/>
      <c r="O52" s="11"/>
      <c r="P52" s="11"/>
      <c r="Q52" s="10" t="e">
        <f t="shared" si="9"/>
        <v>#DIV/0!</v>
      </c>
      <c r="R52" s="9"/>
      <c r="S52" s="11"/>
      <c r="T52" s="10"/>
      <c r="U52" s="9"/>
      <c r="V52" s="11"/>
      <c r="W52" s="11"/>
      <c r="X52" s="10"/>
      <c r="Y52" s="9"/>
      <c r="Z52" s="8"/>
      <c r="AA52" s="7" t="s">
        <v>17</v>
      </c>
    </row>
    <row r="53" spans="2:27">
      <c r="B53" s="12">
        <v>46067</v>
      </c>
      <c r="C53" s="9"/>
      <c r="D53" s="11"/>
      <c r="E53" s="11"/>
      <c r="F53" s="10">
        <f t="shared" si="7"/>
        <v>0</v>
      </c>
      <c r="G53" s="9"/>
      <c r="H53" s="11"/>
      <c r="I53" s="10">
        <f t="shared" si="8"/>
        <v>0</v>
      </c>
      <c r="J53" s="9"/>
      <c r="K53" s="10"/>
      <c r="L53" s="9"/>
      <c r="M53" s="10"/>
      <c r="N53" s="9"/>
      <c r="O53" s="11"/>
      <c r="P53" s="11"/>
      <c r="Q53" s="10" t="e">
        <f t="shared" si="9"/>
        <v>#DIV/0!</v>
      </c>
      <c r="R53" s="9"/>
      <c r="S53" s="11"/>
      <c r="T53" s="10"/>
      <c r="U53" s="9"/>
      <c r="V53" s="11"/>
      <c r="W53" s="11"/>
      <c r="X53" s="10"/>
      <c r="Y53" s="9"/>
      <c r="Z53" s="8"/>
      <c r="AA53" s="7" t="s">
        <v>16</v>
      </c>
    </row>
    <row r="54" spans="2:27">
      <c r="B54" s="12">
        <v>46068</v>
      </c>
      <c r="C54" s="9"/>
      <c r="D54" s="11"/>
      <c r="E54" s="11"/>
      <c r="F54" s="10">
        <f t="shared" si="7"/>
        <v>0</v>
      </c>
      <c r="G54" s="9"/>
      <c r="H54" s="11"/>
      <c r="I54" s="10">
        <f t="shared" si="8"/>
        <v>0</v>
      </c>
      <c r="J54" s="9"/>
      <c r="K54" s="10"/>
      <c r="L54" s="9"/>
      <c r="M54" s="10"/>
      <c r="N54" s="9"/>
      <c r="O54" s="11"/>
      <c r="P54" s="11"/>
      <c r="Q54" s="10" t="e">
        <f t="shared" si="9"/>
        <v>#DIV/0!</v>
      </c>
      <c r="R54" s="9"/>
      <c r="S54" s="11"/>
      <c r="T54" s="10"/>
      <c r="U54" s="9"/>
      <c r="V54" s="11"/>
      <c r="W54" s="11"/>
      <c r="X54" s="10"/>
      <c r="Y54" s="9"/>
      <c r="Z54" s="8"/>
      <c r="AA54" s="7" t="s">
        <v>15</v>
      </c>
    </row>
    <row r="55" spans="2:27">
      <c r="B55" s="12">
        <v>46069</v>
      </c>
      <c r="C55" s="9"/>
      <c r="D55" s="11"/>
      <c r="E55" s="11"/>
      <c r="F55" s="10">
        <f t="shared" si="7"/>
        <v>0</v>
      </c>
      <c r="G55" s="9"/>
      <c r="H55" s="11"/>
      <c r="I55" s="10">
        <f t="shared" si="8"/>
        <v>0</v>
      </c>
      <c r="J55" s="9"/>
      <c r="K55" s="10"/>
      <c r="L55" s="9"/>
      <c r="M55" s="10"/>
      <c r="N55" s="9"/>
      <c r="O55" s="11"/>
      <c r="P55" s="11"/>
      <c r="Q55" s="10" t="e">
        <f t="shared" si="9"/>
        <v>#DIV/0!</v>
      </c>
      <c r="R55" s="9"/>
      <c r="S55" s="11"/>
      <c r="T55" s="10"/>
      <c r="U55" s="9"/>
      <c r="V55" s="11"/>
      <c r="W55" s="11"/>
      <c r="X55" s="10"/>
      <c r="Y55" s="9"/>
      <c r="Z55" s="8"/>
      <c r="AA55" s="7" t="s">
        <v>14</v>
      </c>
    </row>
    <row r="56" spans="2:27">
      <c r="B56" s="12">
        <v>46070</v>
      </c>
      <c r="C56" s="9"/>
      <c r="D56" s="11"/>
      <c r="E56" s="11"/>
      <c r="F56" s="10">
        <f t="shared" si="7"/>
        <v>0</v>
      </c>
      <c r="G56" s="9"/>
      <c r="H56" s="11"/>
      <c r="I56" s="10">
        <f t="shared" si="8"/>
        <v>0</v>
      </c>
      <c r="J56" s="9"/>
      <c r="K56" s="10"/>
      <c r="L56" s="9"/>
      <c r="M56" s="10"/>
      <c r="N56" s="9"/>
      <c r="O56" s="11"/>
      <c r="P56" s="11"/>
      <c r="Q56" s="10" t="e">
        <f t="shared" si="9"/>
        <v>#DIV/0!</v>
      </c>
      <c r="R56" s="9"/>
      <c r="S56" s="11"/>
      <c r="T56" s="10"/>
      <c r="U56" s="9"/>
      <c r="V56" s="11"/>
      <c r="W56" s="11"/>
      <c r="X56" s="10"/>
      <c r="Y56" s="9"/>
      <c r="Z56" s="8"/>
      <c r="AA56" s="7" t="s">
        <v>13</v>
      </c>
    </row>
    <row r="57" spans="2:27">
      <c r="B57" s="12">
        <v>46071</v>
      </c>
      <c r="C57" s="9"/>
      <c r="D57" s="11"/>
      <c r="E57" s="11"/>
      <c r="F57" s="10">
        <f t="shared" si="7"/>
        <v>0</v>
      </c>
      <c r="G57" s="9"/>
      <c r="H57" s="11"/>
      <c r="I57" s="10">
        <f t="shared" si="8"/>
        <v>0</v>
      </c>
      <c r="J57" s="9"/>
      <c r="K57" s="10"/>
      <c r="L57" s="9"/>
      <c r="M57" s="10"/>
      <c r="N57" s="9"/>
      <c r="O57" s="11"/>
      <c r="P57" s="11"/>
      <c r="Q57" s="10" t="e">
        <f t="shared" si="9"/>
        <v>#DIV/0!</v>
      </c>
      <c r="R57" s="9"/>
      <c r="S57" s="11"/>
      <c r="T57" s="10"/>
      <c r="U57" s="9"/>
      <c r="V57" s="11"/>
      <c r="W57" s="11"/>
      <c r="X57" s="10"/>
      <c r="Y57" s="9"/>
      <c r="Z57" s="8"/>
      <c r="AA57" s="7" t="s">
        <v>12</v>
      </c>
    </row>
    <row r="58" spans="2:27">
      <c r="B58" s="12">
        <v>46072</v>
      </c>
      <c r="C58" s="9"/>
      <c r="D58" s="11"/>
      <c r="E58" s="11"/>
      <c r="F58" s="10">
        <f t="shared" si="7"/>
        <v>0</v>
      </c>
      <c r="G58" s="9"/>
      <c r="H58" s="11"/>
      <c r="I58" s="10">
        <f t="shared" si="8"/>
        <v>0</v>
      </c>
      <c r="J58" s="9"/>
      <c r="K58" s="10"/>
      <c r="L58" s="9"/>
      <c r="M58" s="10"/>
      <c r="N58" s="9"/>
      <c r="O58" s="11"/>
      <c r="P58" s="11"/>
      <c r="Q58" s="10" t="e">
        <f t="shared" si="9"/>
        <v>#DIV/0!</v>
      </c>
      <c r="R58" s="9"/>
      <c r="S58" s="11"/>
      <c r="T58" s="10"/>
      <c r="U58" s="9"/>
      <c r="V58" s="11"/>
      <c r="W58" s="11"/>
      <c r="X58" s="10"/>
      <c r="Y58" s="9"/>
      <c r="Z58" s="8"/>
      <c r="AA58" s="7" t="s">
        <v>11</v>
      </c>
    </row>
    <row r="59" spans="2:27">
      <c r="B59" s="12">
        <v>46073</v>
      </c>
      <c r="C59" s="9"/>
      <c r="D59" s="11"/>
      <c r="E59" s="11"/>
      <c r="F59" s="10">
        <f t="shared" si="7"/>
        <v>0</v>
      </c>
      <c r="G59" s="9"/>
      <c r="H59" s="11"/>
      <c r="I59" s="10">
        <f t="shared" si="8"/>
        <v>0</v>
      </c>
      <c r="J59" s="9"/>
      <c r="K59" s="10"/>
      <c r="L59" s="9"/>
      <c r="M59" s="10"/>
      <c r="N59" s="9"/>
      <c r="O59" s="11"/>
      <c r="P59" s="11"/>
      <c r="Q59" s="10" t="e">
        <f t="shared" si="9"/>
        <v>#DIV/0!</v>
      </c>
      <c r="R59" s="9"/>
      <c r="S59" s="11"/>
      <c r="T59" s="10"/>
      <c r="U59" s="9"/>
      <c r="V59" s="11"/>
      <c r="W59" s="11"/>
      <c r="X59" s="10"/>
      <c r="Y59" s="9"/>
      <c r="Z59" s="8"/>
      <c r="AA59" s="7" t="s">
        <v>10</v>
      </c>
    </row>
    <row r="60" spans="2:27">
      <c r="B60" s="12">
        <v>46074</v>
      </c>
      <c r="C60" s="9"/>
      <c r="D60" s="11"/>
      <c r="E60" s="11"/>
      <c r="F60" s="10">
        <f t="shared" si="7"/>
        <v>0</v>
      </c>
      <c r="G60" s="9"/>
      <c r="H60" s="11"/>
      <c r="I60" s="10">
        <f t="shared" si="8"/>
        <v>0</v>
      </c>
      <c r="J60" s="9"/>
      <c r="K60" s="10"/>
      <c r="L60" s="9"/>
      <c r="M60" s="10"/>
      <c r="N60" s="9"/>
      <c r="O60" s="11"/>
      <c r="P60" s="11"/>
      <c r="Q60" s="10" t="e">
        <f t="shared" si="9"/>
        <v>#DIV/0!</v>
      </c>
      <c r="R60" s="9"/>
      <c r="S60" s="11"/>
      <c r="T60" s="10"/>
      <c r="U60" s="9"/>
      <c r="V60" s="11"/>
      <c r="W60" s="11"/>
      <c r="X60" s="10"/>
      <c r="Y60" s="9"/>
      <c r="Z60" s="8"/>
      <c r="AA60" s="7" t="s">
        <v>9</v>
      </c>
    </row>
    <row r="61" spans="2:27">
      <c r="B61" s="12">
        <v>46075</v>
      </c>
      <c r="C61" s="9"/>
      <c r="D61" s="11"/>
      <c r="E61" s="11"/>
      <c r="F61" s="10">
        <f t="shared" si="7"/>
        <v>0</v>
      </c>
      <c r="G61" s="9"/>
      <c r="H61" s="11"/>
      <c r="I61" s="10">
        <f t="shared" si="8"/>
        <v>0</v>
      </c>
      <c r="J61" s="9"/>
      <c r="K61" s="10"/>
      <c r="L61" s="9"/>
      <c r="M61" s="10"/>
      <c r="N61" s="9"/>
      <c r="O61" s="11"/>
      <c r="P61" s="11"/>
      <c r="Q61" s="10" t="e">
        <f t="shared" si="9"/>
        <v>#DIV/0!</v>
      </c>
      <c r="R61" s="9"/>
      <c r="S61" s="11"/>
      <c r="T61" s="10"/>
      <c r="U61" s="9"/>
      <c r="V61" s="11"/>
      <c r="W61" s="11"/>
      <c r="X61" s="10"/>
      <c r="Y61" s="9"/>
      <c r="Z61" s="8"/>
      <c r="AA61" s="7" t="s">
        <v>8</v>
      </c>
    </row>
    <row r="62" spans="2:27">
      <c r="B62" s="12">
        <v>46076</v>
      </c>
      <c r="C62" s="9"/>
      <c r="D62" s="11"/>
      <c r="E62" s="11"/>
      <c r="F62" s="10">
        <f t="shared" si="7"/>
        <v>0</v>
      </c>
      <c r="G62" s="9"/>
      <c r="H62" s="11"/>
      <c r="I62" s="10">
        <f t="shared" si="8"/>
        <v>0</v>
      </c>
      <c r="J62" s="9"/>
      <c r="K62" s="10"/>
      <c r="L62" s="9"/>
      <c r="M62" s="10"/>
      <c r="N62" s="9"/>
      <c r="O62" s="11"/>
      <c r="P62" s="11"/>
      <c r="Q62" s="10" t="e">
        <f t="shared" si="9"/>
        <v>#DIV/0!</v>
      </c>
      <c r="R62" s="9"/>
      <c r="S62" s="11"/>
      <c r="T62" s="10"/>
      <c r="U62" s="9"/>
      <c r="V62" s="11"/>
      <c r="W62" s="11"/>
      <c r="X62" s="10"/>
      <c r="Y62" s="9"/>
      <c r="Z62" s="8"/>
      <c r="AA62" s="7" t="s">
        <v>7</v>
      </c>
    </row>
    <row r="63" spans="2:27">
      <c r="B63" s="12">
        <v>46077</v>
      </c>
      <c r="C63" s="9"/>
      <c r="D63" s="11"/>
      <c r="E63" s="11"/>
      <c r="F63" s="10">
        <f t="shared" si="7"/>
        <v>0</v>
      </c>
      <c r="G63" s="9"/>
      <c r="H63" s="11"/>
      <c r="I63" s="10">
        <f t="shared" si="8"/>
        <v>0</v>
      </c>
      <c r="J63" s="9"/>
      <c r="K63" s="10"/>
      <c r="L63" s="9"/>
      <c r="M63" s="10"/>
      <c r="N63" s="9"/>
      <c r="O63" s="11"/>
      <c r="P63" s="11"/>
      <c r="Q63" s="10" t="e">
        <f t="shared" si="9"/>
        <v>#DIV/0!</v>
      </c>
      <c r="R63" s="9"/>
      <c r="S63" s="11"/>
      <c r="T63" s="10"/>
      <c r="U63" s="9"/>
      <c r="V63" s="11"/>
      <c r="W63" s="11"/>
      <c r="X63" s="10"/>
      <c r="Y63" s="9"/>
      <c r="Z63" s="8"/>
      <c r="AA63" s="7" t="s">
        <v>6</v>
      </c>
    </row>
    <row r="64" spans="2:27">
      <c r="B64" s="12">
        <v>46078</v>
      </c>
      <c r="C64" s="9"/>
      <c r="D64" s="11"/>
      <c r="E64" s="11"/>
      <c r="F64" s="10">
        <f t="shared" si="7"/>
        <v>0</v>
      </c>
      <c r="G64" s="9"/>
      <c r="H64" s="11"/>
      <c r="I64" s="10">
        <f t="shared" si="8"/>
        <v>0</v>
      </c>
      <c r="J64" s="9"/>
      <c r="K64" s="10"/>
      <c r="L64" s="9"/>
      <c r="M64" s="10"/>
      <c r="N64" s="9"/>
      <c r="O64" s="11"/>
      <c r="P64" s="11"/>
      <c r="Q64" s="10" t="e">
        <f t="shared" si="9"/>
        <v>#DIV/0!</v>
      </c>
      <c r="R64" s="9"/>
      <c r="S64" s="11"/>
      <c r="T64" s="10"/>
      <c r="U64" s="9"/>
      <c r="V64" s="11"/>
      <c r="W64" s="11"/>
      <c r="X64" s="10"/>
      <c r="Y64" s="9"/>
      <c r="Z64" s="8"/>
      <c r="AA64" s="7" t="s">
        <v>5</v>
      </c>
    </row>
    <row r="65" spans="2:27">
      <c r="B65" s="12">
        <v>46079</v>
      </c>
      <c r="C65" s="9"/>
      <c r="D65" s="11"/>
      <c r="E65" s="11"/>
      <c r="F65" s="10">
        <f t="shared" si="7"/>
        <v>0</v>
      </c>
      <c r="G65" s="9"/>
      <c r="H65" s="11"/>
      <c r="I65" s="10">
        <f t="shared" si="8"/>
        <v>0</v>
      </c>
      <c r="J65" s="9"/>
      <c r="K65" s="10"/>
      <c r="L65" s="9"/>
      <c r="M65" s="10"/>
      <c r="N65" s="9"/>
      <c r="O65" s="11"/>
      <c r="P65" s="11"/>
      <c r="Q65" s="10" t="e">
        <f t="shared" si="9"/>
        <v>#DIV/0!</v>
      </c>
      <c r="R65" s="9"/>
      <c r="S65" s="11"/>
      <c r="T65" s="10"/>
      <c r="U65" s="9"/>
      <c r="V65" s="11"/>
      <c r="W65" s="11"/>
      <c r="X65" s="10"/>
      <c r="Y65" s="9"/>
      <c r="Z65" s="8"/>
      <c r="AA65" s="7" t="s">
        <v>4</v>
      </c>
    </row>
    <row r="66" spans="2:27">
      <c r="B66" s="12">
        <v>46080</v>
      </c>
      <c r="C66" s="9"/>
      <c r="D66" s="11"/>
      <c r="E66" s="11"/>
      <c r="F66" s="10">
        <f t="shared" si="7"/>
        <v>0</v>
      </c>
      <c r="G66" s="9"/>
      <c r="H66" s="11"/>
      <c r="I66" s="10">
        <f t="shared" si="8"/>
        <v>0</v>
      </c>
      <c r="J66" s="9"/>
      <c r="K66" s="10"/>
      <c r="L66" s="9"/>
      <c r="M66" s="10"/>
      <c r="N66" s="9"/>
      <c r="O66" s="11"/>
      <c r="P66" s="11"/>
      <c r="Q66" s="10" t="e">
        <f t="shared" si="9"/>
        <v>#DIV/0!</v>
      </c>
      <c r="R66" s="9"/>
      <c r="S66" s="11"/>
      <c r="T66" s="10"/>
      <c r="U66" s="9"/>
      <c r="V66" s="11"/>
      <c r="W66" s="11"/>
      <c r="X66" s="10"/>
      <c r="Y66" s="9"/>
      <c r="Z66" s="8"/>
      <c r="AA66" s="7" t="s">
        <v>3</v>
      </c>
    </row>
    <row r="67" spans="2:27" ht="17.25" thickBot="1">
      <c r="B67" s="33">
        <v>46081</v>
      </c>
      <c r="C67" s="3"/>
      <c r="D67" s="5"/>
      <c r="E67" s="5"/>
      <c r="F67" s="4">
        <f t="shared" si="7"/>
        <v>0</v>
      </c>
      <c r="G67" s="3"/>
      <c r="H67" s="5"/>
      <c r="I67" s="4">
        <f t="shared" si="8"/>
        <v>0</v>
      </c>
      <c r="J67" s="3"/>
      <c r="K67" s="4"/>
      <c r="L67" s="3"/>
      <c r="M67" s="4"/>
      <c r="N67" s="3"/>
      <c r="O67" s="5"/>
      <c r="P67" s="5"/>
      <c r="Q67" s="4" t="e">
        <f t="shared" si="9"/>
        <v>#DIV/0!</v>
      </c>
      <c r="R67" s="3"/>
      <c r="S67" s="5"/>
      <c r="T67" s="4"/>
      <c r="U67" s="3"/>
      <c r="V67" s="5"/>
      <c r="W67" s="5"/>
      <c r="X67" s="4"/>
      <c r="Y67" s="3"/>
      <c r="Z67" s="2"/>
      <c r="AA67" s="1" t="s">
        <v>2</v>
      </c>
    </row>
    <row r="68" spans="2:27" ht="17.25" thickBot="1"/>
    <row r="69" spans="2:27" ht="27" customHeight="1" thickBot="1">
      <c r="B69" s="194"/>
      <c r="C69" s="196" t="s">
        <v>68</v>
      </c>
      <c r="D69" s="197"/>
      <c r="E69" s="197"/>
      <c r="F69" s="198"/>
      <c r="G69" s="199" t="s">
        <v>67</v>
      </c>
      <c r="H69" s="200"/>
      <c r="I69" s="201"/>
      <c r="J69" s="196" t="s">
        <v>66</v>
      </c>
      <c r="K69" s="198"/>
      <c r="L69" s="202" t="s">
        <v>65</v>
      </c>
      <c r="M69" s="198"/>
      <c r="N69" s="203" t="s">
        <v>64</v>
      </c>
      <c r="O69" s="204"/>
      <c r="P69" s="204"/>
      <c r="Q69" s="205"/>
      <c r="R69" s="196" t="s">
        <v>63</v>
      </c>
      <c r="S69" s="197"/>
      <c r="T69" s="198"/>
      <c r="U69" s="196" t="s">
        <v>62</v>
      </c>
      <c r="V69" s="197"/>
      <c r="W69" s="197"/>
      <c r="X69" s="198"/>
      <c r="Y69" s="196" t="s">
        <v>61</v>
      </c>
      <c r="Z69" s="197"/>
      <c r="AA69" s="192" t="s">
        <v>49</v>
      </c>
    </row>
    <row r="70" spans="2:27" ht="27" customHeight="1" thickBot="1">
      <c r="B70" s="195"/>
      <c r="C70" s="25" t="s">
        <v>48</v>
      </c>
      <c r="D70" s="27" t="s">
        <v>47</v>
      </c>
      <c r="E70" s="27" t="s">
        <v>46</v>
      </c>
      <c r="F70" s="26" t="s">
        <v>45</v>
      </c>
      <c r="G70" s="25" t="s">
        <v>43</v>
      </c>
      <c r="H70" s="27" t="s">
        <v>42</v>
      </c>
      <c r="I70" s="26" t="s">
        <v>44</v>
      </c>
      <c r="J70" s="25" t="s">
        <v>43</v>
      </c>
      <c r="K70" s="26" t="s">
        <v>42</v>
      </c>
      <c r="L70" s="25" t="s">
        <v>43</v>
      </c>
      <c r="M70" s="26" t="s">
        <v>42</v>
      </c>
      <c r="N70" s="31" t="s">
        <v>41</v>
      </c>
      <c r="O70" s="30" t="s">
        <v>40</v>
      </c>
      <c r="P70" s="30" t="s">
        <v>39</v>
      </c>
      <c r="Q70" s="29" t="s">
        <v>38</v>
      </c>
      <c r="R70" s="108" t="s">
        <v>143</v>
      </c>
      <c r="S70" s="107" t="s">
        <v>144</v>
      </c>
      <c r="T70" s="26" t="s">
        <v>37</v>
      </c>
      <c r="U70" s="25" t="s">
        <v>36</v>
      </c>
      <c r="V70" s="28" t="s">
        <v>35</v>
      </c>
      <c r="W70" s="27" t="s">
        <v>34</v>
      </c>
      <c r="X70" s="26" t="s">
        <v>33</v>
      </c>
      <c r="Y70" s="25" t="s">
        <v>32</v>
      </c>
      <c r="Z70" s="24" t="s">
        <v>31</v>
      </c>
      <c r="AA70" s="193"/>
    </row>
    <row r="71" spans="2:27" ht="20.25" customHeight="1" thickBot="1">
      <c r="B71" s="23" t="s">
        <v>70</v>
      </c>
      <c r="C71" s="20">
        <f t="shared" ref="C71:I71" si="10">SUM(C72:C102)</f>
        <v>0</v>
      </c>
      <c r="D71" s="22">
        <f t="shared" si="10"/>
        <v>0</v>
      </c>
      <c r="E71" s="22">
        <f t="shared" si="10"/>
        <v>0</v>
      </c>
      <c r="F71" s="21">
        <f t="shared" si="10"/>
        <v>0</v>
      </c>
      <c r="G71" s="20">
        <f t="shared" si="10"/>
        <v>0</v>
      </c>
      <c r="H71" s="22">
        <f t="shared" si="10"/>
        <v>0</v>
      </c>
      <c r="I71" s="21">
        <f t="shared" si="10"/>
        <v>0</v>
      </c>
      <c r="J71" s="20">
        <f>IFERROR(AVERAGE(J72:J102),0)</f>
        <v>0</v>
      </c>
      <c r="K71" s="21">
        <f>IFERROR(AVERAGE(K72:K102),0)</f>
        <v>0</v>
      </c>
      <c r="L71" s="20">
        <f>IFERROR(AVERAGE(L72:L102),0)</f>
        <v>0</v>
      </c>
      <c r="M71" s="21">
        <f>IFERROR(AVERAGE(M72:M102),0)</f>
        <v>0</v>
      </c>
      <c r="N71" s="20">
        <f>SUM(N72:N102)</f>
        <v>0</v>
      </c>
      <c r="O71" s="22">
        <f>SUM(O72:O102)</f>
        <v>0</v>
      </c>
      <c r="P71" s="22">
        <f>SUM(P72:P102)</f>
        <v>0</v>
      </c>
      <c r="Q71" s="21">
        <f>IFERROR(O71/N71*100,0)</f>
        <v>0</v>
      </c>
      <c r="R71" s="20">
        <f t="shared" ref="R71:Z71" si="11">SUM(R72:R102)</f>
        <v>0</v>
      </c>
      <c r="S71" s="22">
        <f t="shared" si="11"/>
        <v>0</v>
      </c>
      <c r="T71" s="21">
        <f t="shared" si="11"/>
        <v>0</v>
      </c>
      <c r="U71" s="20">
        <f t="shared" si="11"/>
        <v>0</v>
      </c>
      <c r="V71" s="22">
        <f t="shared" si="11"/>
        <v>0</v>
      </c>
      <c r="W71" s="22">
        <f t="shared" si="11"/>
        <v>0</v>
      </c>
      <c r="X71" s="21">
        <f t="shared" si="11"/>
        <v>0</v>
      </c>
      <c r="Y71" s="20">
        <f t="shared" si="11"/>
        <v>0</v>
      </c>
      <c r="Z71" s="19">
        <f t="shared" si="11"/>
        <v>0</v>
      </c>
      <c r="AA71" s="18"/>
    </row>
    <row r="72" spans="2:27">
      <c r="B72" s="12">
        <v>46082</v>
      </c>
      <c r="C72" s="15"/>
      <c r="D72" s="17"/>
      <c r="E72" s="17"/>
      <c r="F72" s="16">
        <f t="shared" ref="F72:F102" si="12">SUM(C72:E72)</f>
        <v>0</v>
      </c>
      <c r="G72" s="142"/>
      <c r="H72" s="143"/>
      <c r="I72" s="144">
        <f t="shared" ref="I72:I102" si="13">SUM(G72:H72)</f>
        <v>0</v>
      </c>
      <c r="J72" s="15"/>
      <c r="K72" s="16"/>
      <c r="L72" s="15"/>
      <c r="M72" s="16"/>
      <c r="N72" s="15"/>
      <c r="O72" s="17"/>
      <c r="P72" s="17"/>
      <c r="Q72" s="16" t="e">
        <f t="shared" ref="Q72:Q102" si="14">O72/N72*100</f>
        <v>#DIV/0!</v>
      </c>
      <c r="R72" s="15"/>
      <c r="S72" s="17"/>
      <c r="T72" s="16"/>
      <c r="U72" s="15"/>
      <c r="V72" s="17"/>
      <c r="W72" s="17"/>
      <c r="X72" s="16"/>
      <c r="Y72" s="15"/>
      <c r="Z72" s="14"/>
      <c r="AA72" s="13" t="s">
        <v>176</v>
      </c>
    </row>
    <row r="73" spans="2:27">
      <c r="B73" s="12">
        <v>46083</v>
      </c>
      <c r="C73" s="9"/>
      <c r="D73" s="11"/>
      <c r="E73" s="11"/>
      <c r="F73" s="10">
        <f t="shared" si="12"/>
        <v>0</v>
      </c>
      <c r="G73" s="9"/>
      <c r="H73" s="11"/>
      <c r="I73" s="10">
        <f t="shared" si="13"/>
        <v>0</v>
      </c>
      <c r="J73" s="9"/>
      <c r="K73" s="10"/>
      <c r="L73" s="9"/>
      <c r="M73" s="10"/>
      <c r="N73" s="9"/>
      <c r="O73" s="11"/>
      <c r="P73" s="11"/>
      <c r="Q73" s="16" t="e">
        <f t="shared" si="14"/>
        <v>#DIV/0!</v>
      </c>
      <c r="R73" s="9"/>
      <c r="S73" s="11"/>
      <c r="T73" s="10"/>
      <c r="U73" s="9"/>
      <c r="V73" s="11"/>
      <c r="W73" s="11"/>
      <c r="X73" s="10"/>
      <c r="Y73" s="9"/>
      <c r="Z73" s="8"/>
      <c r="AA73" s="102" t="s">
        <v>177</v>
      </c>
    </row>
    <row r="74" spans="2:27">
      <c r="B74" s="12">
        <v>46084</v>
      </c>
      <c r="C74" s="9"/>
      <c r="D74" s="11"/>
      <c r="E74" s="11"/>
      <c r="F74" s="10">
        <f t="shared" si="12"/>
        <v>0</v>
      </c>
      <c r="G74" s="9"/>
      <c r="H74" s="11"/>
      <c r="I74" s="10">
        <f t="shared" si="13"/>
        <v>0</v>
      </c>
      <c r="J74" s="9"/>
      <c r="K74" s="10"/>
      <c r="L74" s="9"/>
      <c r="M74" s="10"/>
      <c r="N74" s="9"/>
      <c r="O74" s="11"/>
      <c r="P74" s="11"/>
      <c r="Q74" s="16" t="e">
        <f t="shared" si="14"/>
        <v>#DIV/0!</v>
      </c>
      <c r="R74" s="9"/>
      <c r="S74" s="11"/>
      <c r="T74" s="10"/>
      <c r="U74" s="9"/>
      <c r="V74" s="11"/>
      <c r="W74" s="11"/>
      <c r="X74" s="10"/>
      <c r="Y74" s="9"/>
      <c r="Z74" s="8"/>
      <c r="AA74" s="7" t="s">
        <v>178</v>
      </c>
    </row>
    <row r="75" spans="2:27">
      <c r="B75" s="12">
        <v>46085</v>
      </c>
      <c r="C75" s="9"/>
      <c r="D75" s="11"/>
      <c r="E75" s="11"/>
      <c r="F75" s="10">
        <f t="shared" si="12"/>
        <v>0</v>
      </c>
      <c r="G75" s="9"/>
      <c r="H75" s="11"/>
      <c r="I75" s="10">
        <f t="shared" si="13"/>
        <v>0</v>
      </c>
      <c r="J75" s="9"/>
      <c r="K75" s="10"/>
      <c r="L75" s="9"/>
      <c r="M75" s="10"/>
      <c r="N75" s="9"/>
      <c r="O75" s="11"/>
      <c r="P75" s="11"/>
      <c r="Q75" s="16" t="e">
        <f t="shared" si="14"/>
        <v>#DIV/0!</v>
      </c>
      <c r="R75" s="9"/>
      <c r="S75" s="11"/>
      <c r="T75" s="10"/>
      <c r="U75" s="9"/>
      <c r="V75" s="11"/>
      <c r="W75" s="11"/>
      <c r="X75" s="10"/>
      <c r="Y75" s="9"/>
      <c r="Z75" s="8"/>
      <c r="AA75" s="7" t="s">
        <v>179</v>
      </c>
    </row>
    <row r="76" spans="2:27">
      <c r="B76" s="12">
        <v>46086</v>
      </c>
      <c r="C76" s="9"/>
      <c r="D76" s="11"/>
      <c r="E76" s="11"/>
      <c r="F76" s="10">
        <f t="shared" si="12"/>
        <v>0</v>
      </c>
      <c r="G76" s="9"/>
      <c r="H76" s="11"/>
      <c r="I76" s="10">
        <f t="shared" si="13"/>
        <v>0</v>
      </c>
      <c r="J76" s="9"/>
      <c r="K76" s="10"/>
      <c r="L76" s="9"/>
      <c r="M76" s="10"/>
      <c r="N76" s="9"/>
      <c r="O76" s="11"/>
      <c r="P76" s="11"/>
      <c r="Q76" s="10" t="e">
        <f t="shared" si="14"/>
        <v>#DIV/0!</v>
      </c>
      <c r="R76" s="9"/>
      <c r="S76" s="11"/>
      <c r="T76" s="10"/>
      <c r="U76" s="9"/>
      <c r="V76" s="11"/>
      <c r="W76" s="11"/>
      <c r="X76" s="10"/>
      <c r="Y76" s="9"/>
      <c r="Z76" s="8"/>
      <c r="AA76" s="7" t="s">
        <v>180</v>
      </c>
    </row>
    <row r="77" spans="2:27">
      <c r="B77" s="12">
        <v>46087</v>
      </c>
      <c r="C77" s="9"/>
      <c r="D77" s="11"/>
      <c r="E77" s="11"/>
      <c r="F77" s="10">
        <f t="shared" si="12"/>
        <v>0</v>
      </c>
      <c r="G77" s="9"/>
      <c r="H77" s="11"/>
      <c r="I77" s="10">
        <f t="shared" si="13"/>
        <v>0</v>
      </c>
      <c r="J77" s="9"/>
      <c r="K77" s="10"/>
      <c r="L77" s="9"/>
      <c r="M77" s="10"/>
      <c r="N77" s="9"/>
      <c r="O77" s="11"/>
      <c r="P77" s="11"/>
      <c r="Q77" s="10" t="e">
        <f t="shared" si="14"/>
        <v>#DIV/0!</v>
      </c>
      <c r="R77" s="9"/>
      <c r="S77" s="11"/>
      <c r="T77" s="10"/>
      <c r="U77" s="9"/>
      <c r="V77" s="11"/>
      <c r="W77" s="11"/>
      <c r="X77" s="10"/>
      <c r="Y77" s="9"/>
      <c r="Z77" s="8"/>
      <c r="AA77" s="7" t="s">
        <v>24</v>
      </c>
    </row>
    <row r="78" spans="2:27">
      <c r="B78" s="12">
        <v>46088</v>
      </c>
      <c r="C78" s="9"/>
      <c r="D78" s="11"/>
      <c r="E78" s="11"/>
      <c r="F78" s="10">
        <f t="shared" si="12"/>
        <v>0</v>
      </c>
      <c r="G78" s="9"/>
      <c r="H78" s="11"/>
      <c r="I78" s="10">
        <f t="shared" si="13"/>
        <v>0</v>
      </c>
      <c r="J78" s="9"/>
      <c r="K78" s="10"/>
      <c r="L78" s="9"/>
      <c r="M78" s="10"/>
      <c r="N78" s="9"/>
      <c r="O78" s="11"/>
      <c r="P78" s="11"/>
      <c r="Q78" s="10" t="e">
        <f t="shared" si="14"/>
        <v>#DIV/0!</v>
      </c>
      <c r="R78" s="9"/>
      <c r="S78" s="11"/>
      <c r="T78" s="10"/>
      <c r="U78" s="9"/>
      <c r="V78" s="11"/>
      <c r="W78" s="11"/>
      <c r="X78" s="10"/>
      <c r="Y78" s="9"/>
      <c r="Z78" s="8"/>
      <c r="AA78" s="7" t="s">
        <v>23</v>
      </c>
    </row>
    <row r="79" spans="2:27">
      <c r="B79" s="12">
        <v>46089</v>
      </c>
      <c r="C79" s="9"/>
      <c r="D79" s="11"/>
      <c r="E79" s="11"/>
      <c r="F79" s="10">
        <f t="shared" si="12"/>
        <v>0</v>
      </c>
      <c r="G79" s="9"/>
      <c r="H79" s="11"/>
      <c r="I79" s="10">
        <f t="shared" si="13"/>
        <v>0</v>
      </c>
      <c r="J79" s="9"/>
      <c r="K79" s="10"/>
      <c r="L79" s="9"/>
      <c r="M79" s="10"/>
      <c r="N79" s="9"/>
      <c r="O79" s="11"/>
      <c r="P79" s="11"/>
      <c r="Q79" s="10" t="e">
        <f t="shared" si="14"/>
        <v>#DIV/0!</v>
      </c>
      <c r="R79" s="9"/>
      <c r="S79" s="11"/>
      <c r="T79" s="10"/>
      <c r="U79" s="9"/>
      <c r="V79" s="11"/>
      <c r="W79" s="11"/>
      <c r="X79" s="10"/>
      <c r="Y79" s="9"/>
      <c r="Z79" s="8"/>
      <c r="AA79" s="7" t="s">
        <v>22</v>
      </c>
    </row>
    <row r="80" spans="2:27">
      <c r="B80" s="12">
        <v>46090</v>
      </c>
      <c r="C80" s="9"/>
      <c r="D80" s="11"/>
      <c r="E80" s="11"/>
      <c r="F80" s="10">
        <f t="shared" si="12"/>
        <v>0</v>
      </c>
      <c r="G80" s="9"/>
      <c r="H80" s="11"/>
      <c r="I80" s="10">
        <f t="shared" si="13"/>
        <v>0</v>
      </c>
      <c r="J80" s="9"/>
      <c r="K80" s="10"/>
      <c r="L80" s="9"/>
      <c r="M80" s="10"/>
      <c r="N80" s="9"/>
      <c r="O80" s="11"/>
      <c r="P80" s="11"/>
      <c r="Q80" s="10" t="e">
        <f t="shared" si="14"/>
        <v>#DIV/0!</v>
      </c>
      <c r="R80" s="9"/>
      <c r="S80" s="11"/>
      <c r="T80" s="10"/>
      <c r="U80" s="9"/>
      <c r="V80" s="11"/>
      <c r="W80" s="11"/>
      <c r="X80" s="10"/>
      <c r="Y80" s="9"/>
      <c r="Z80" s="8"/>
      <c r="AA80" s="7" t="s">
        <v>21</v>
      </c>
    </row>
    <row r="81" spans="2:27">
      <c r="B81" s="12">
        <v>46091</v>
      </c>
      <c r="C81" s="9"/>
      <c r="D81" s="11"/>
      <c r="E81" s="11"/>
      <c r="F81" s="10">
        <f t="shared" si="12"/>
        <v>0</v>
      </c>
      <c r="G81" s="9"/>
      <c r="H81" s="11"/>
      <c r="I81" s="10">
        <f t="shared" si="13"/>
        <v>0</v>
      </c>
      <c r="J81" s="9"/>
      <c r="K81" s="10"/>
      <c r="L81" s="9"/>
      <c r="M81" s="10"/>
      <c r="N81" s="9"/>
      <c r="O81" s="11"/>
      <c r="P81" s="11"/>
      <c r="Q81" s="10" t="e">
        <f t="shared" si="14"/>
        <v>#DIV/0!</v>
      </c>
      <c r="R81" s="9"/>
      <c r="S81" s="11"/>
      <c r="T81" s="10"/>
      <c r="U81" s="9"/>
      <c r="V81" s="11"/>
      <c r="W81" s="11"/>
      <c r="X81" s="10"/>
      <c r="Y81" s="9"/>
      <c r="Z81" s="8"/>
      <c r="AA81" s="7" t="s">
        <v>20</v>
      </c>
    </row>
    <row r="82" spans="2:27">
      <c r="B82" s="12">
        <v>46092</v>
      </c>
      <c r="C82" s="9"/>
      <c r="D82" s="11"/>
      <c r="E82" s="11"/>
      <c r="F82" s="10">
        <f t="shared" si="12"/>
        <v>0</v>
      </c>
      <c r="G82" s="9"/>
      <c r="H82" s="11"/>
      <c r="I82" s="10">
        <f t="shared" si="13"/>
        <v>0</v>
      </c>
      <c r="J82" s="9"/>
      <c r="K82" s="10"/>
      <c r="L82" s="9"/>
      <c r="M82" s="10"/>
      <c r="N82" s="9"/>
      <c r="O82" s="11"/>
      <c r="P82" s="11"/>
      <c r="Q82" s="10" t="e">
        <f t="shared" si="14"/>
        <v>#DIV/0!</v>
      </c>
      <c r="R82" s="9"/>
      <c r="S82" s="11"/>
      <c r="T82" s="10"/>
      <c r="U82" s="9"/>
      <c r="V82" s="11"/>
      <c r="W82" s="11"/>
      <c r="X82" s="10"/>
      <c r="Y82" s="9"/>
      <c r="Z82" s="8"/>
      <c r="AA82" s="7" t="s">
        <v>19</v>
      </c>
    </row>
    <row r="83" spans="2:27">
      <c r="B83" s="12">
        <v>46093</v>
      </c>
      <c r="C83" s="9"/>
      <c r="D83" s="11"/>
      <c r="E83" s="11"/>
      <c r="F83" s="10">
        <f t="shared" si="12"/>
        <v>0</v>
      </c>
      <c r="G83" s="9"/>
      <c r="H83" s="11"/>
      <c r="I83" s="10">
        <f t="shared" si="13"/>
        <v>0</v>
      </c>
      <c r="J83" s="9"/>
      <c r="K83" s="10"/>
      <c r="L83" s="9"/>
      <c r="M83" s="10"/>
      <c r="N83" s="9"/>
      <c r="O83" s="11"/>
      <c r="P83" s="11"/>
      <c r="Q83" s="10" t="e">
        <f t="shared" si="14"/>
        <v>#DIV/0!</v>
      </c>
      <c r="R83" s="9"/>
      <c r="S83" s="11"/>
      <c r="T83" s="10"/>
      <c r="U83" s="9"/>
      <c r="V83" s="11"/>
      <c r="W83" s="11"/>
      <c r="X83" s="10"/>
      <c r="Y83" s="9"/>
      <c r="Z83" s="8"/>
      <c r="AA83" s="7" t="s">
        <v>18</v>
      </c>
    </row>
    <row r="84" spans="2:27">
      <c r="B84" s="12">
        <v>46094</v>
      </c>
      <c r="C84" s="9"/>
      <c r="D84" s="11"/>
      <c r="E84" s="11"/>
      <c r="F84" s="10">
        <f t="shared" si="12"/>
        <v>0</v>
      </c>
      <c r="G84" s="9"/>
      <c r="H84" s="11"/>
      <c r="I84" s="10">
        <f t="shared" si="13"/>
        <v>0</v>
      </c>
      <c r="J84" s="9"/>
      <c r="K84" s="10"/>
      <c r="L84" s="9"/>
      <c r="M84" s="10"/>
      <c r="N84" s="9"/>
      <c r="O84" s="11"/>
      <c r="P84" s="11"/>
      <c r="Q84" s="10" t="e">
        <f t="shared" si="14"/>
        <v>#DIV/0!</v>
      </c>
      <c r="R84" s="9"/>
      <c r="S84" s="11"/>
      <c r="T84" s="10"/>
      <c r="U84" s="9"/>
      <c r="V84" s="11"/>
      <c r="W84" s="11"/>
      <c r="X84" s="10"/>
      <c r="Y84" s="9"/>
      <c r="Z84" s="8"/>
      <c r="AA84" s="7" t="s">
        <v>17</v>
      </c>
    </row>
    <row r="85" spans="2:27">
      <c r="B85" s="12">
        <v>46095</v>
      </c>
      <c r="C85" s="9"/>
      <c r="D85" s="11"/>
      <c r="E85" s="11"/>
      <c r="F85" s="10">
        <f t="shared" si="12"/>
        <v>0</v>
      </c>
      <c r="G85" s="9"/>
      <c r="H85" s="11"/>
      <c r="I85" s="10">
        <f t="shared" si="13"/>
        <v>0</v>
      </c>
      <c r="J85" s="9"/>
      <c r="K85" s="10"/>
      <c r="L85" s="9"/>
      <c r="M85" s="10"/>
      <c r="N85" s="9"/>
      <c r="O85" s="11"/>
      <c r="P85" s="11"/>
      <c r="Q85" s="10" t="e">
        <f t="shared" si="14"/>
        <v>#DIV/0!</v>
      </c>
      <c r="R85" s="9"/>
      <c r="S85" s="11"/>
      <c r="T85" s="10"/>
      <c r="U85" s="9"/>
      <c r="V85" s="11"/>
      <c r="W85" s="11"/>
      <c r="X85" s="10"/>
      <c r="Y85" s="9"/>
      <c r="Z85" s="8"/>
      <c r="AA85" s="7" t="s">
        <v>16</v>
      </c>
    </row>
    <row r="86" spans="2:27">
      <c r="B86" s="12">
        <v>46096</v>
      </c>
      <c r="C86" s="9"/>
      <c r="D86" s="11"/>
      <c r="E86" s="11"/>
      <c r="F86" s="10">
        <f t="shared" si="12"/>
        <v>0</v>
      </c>
      <c r="G86" s="9"/>
      <c r="H86" s="11"/>
      <c r="I86" s="10">
        <f t="shared" si="13"/>
        <v>0</v>
      </c>
      <c r="J86" s="9"/>
      <c r="K86" s="10"/>
      <c r="L86" s="9"/>
      <c r="M86" s="10"/>
      <c r="N86" s="9"/>
      <c r="O86" s="11"/>
      <c r="P86" s="11"/>
      <c r="Q86" s="10" t="e">
        <f t="shared" si="14"/>
        <v>#DIV/0!</v>
      </c>
      <c r="R86" s="9"/>
      <c r="S86" s="11"/>
      <c r="T86" s="10"/>
      <c r="U86" s="9"/>
      <c r="V86" s="11"/>
      <c r="W86" s="11"/>
      <c r="X86" s="10"/>
      <c r="Y86" s="9"/>
      <c r="Z86" s="8"/>
      <c r="AA86" s="7" t="s">
        <v>15</v>
      </c>
    </row>
    <row r="87" spans="2:27">
      <c r="B87" s="12">
        <v>46097</v>
      </c>
      <c r="C87" s="9"/>
      <c r="D87" s="11"/>
      <c r="E87" s="11"/>
      <c r="F87" s="10">
        <f t="shared" si="12"/>
        <v>0</v>
      </c>
      <c r="G87" s="9"/>
      <c r="H87" s="11"/>
      <c r="I87" s="10">
        <f t="shared" si="13"/>
        <v>0</v>
      </c>
      <c r="J87" s="9"/>
      <c r="K87" s="10"/>
      <c r="L87" s="9"/>
      <c r="M87" s="10"/>
      <c r="N87" s="9"/>
      <c r="O87" s="11"/>
      <c r="P87" s="11"/>
      <c r="Q87" s="10" t="e">
        <f t="shared" si="14"/>
        <v>#DIV/0!</v>
      </c>
      <c r="R87" s="9"/>
      <c r="S87" s="11"/>
      <c r="T87" s="10"/>
      <c r="U87" s="9"/>
      <c r="V87" s="11"/>
      <c r="W87" s="11"/>
      <c r="X87" s="10"/>
      <c r="Y87" s="9"/>
      <c r="Z87" s="8"/>
      <c r="AA87" s="7" t="s">
        <v>14</v>
      </c>
    </row>
    <row r="88" spans="2:27">
      <c r="B88" s="12">
        <v>46098</v>
      </c>
      <c r="C88" s="9"/>
      <c r="D88" s="11"/>
      <c r="E88" s="11"/>
      <c r="F88" s="10">
        <f t="shared" si="12"/>
        <v>0</v>
      </c>
      <c r="G88" s="9"/>
      <c r="H88" s="11"/>
      <c r="I88" s="10">
        <f t="shared" si="13"/>
        <v>0</v>
      </c>
      <c r="J88" s="9"/>
      <c r="K88" s="10"/>
      <c r="L88" s="9"/>
      <c r="M88" s="10"/>
      <c r="N88" s="9"/>
      <c r="O88" s="11"/>
      <c r="P88" s="11"/>
      <c r="Q88" s="10" t="e">
        <f t="shared" si="14"/>
        <v>#DIV/0!</v>
      </c>
      <c r="R88" s="9"/>
      <c r="S88" s="11"/>
      <c r="T88" s="10"/>
      <c r="U88" s="9"/>
      <c r="V88" s="11"/>
      <c r="W88" s="11"/>
      <c r="X88" s="10"/>
      <c r="Y88" s="9"/>
      <c r="Z88" s="8"/>
      <c r="AA88" s="7" t="s">
        <v>13</v>
      </c>
    </row>
    <row r="89" spans="2:27">
      <c r="B89" s="12">
        <v>46099</v>
      </c>
      <c r="C89" s="9"/>
      <c r="D89" s="11"/>
      <c r="E89" s="11"/>
      <c r="F89" s="10">
        <f t="shared" si="12"/>
        <v>0</v>
      </c>
      <c r="G89" s="9"/>
      <c r="H89" s="11"/>
      <c r="I89" s="10">
        <f t="shared" si="13"/>
        <v>0</v>
      </c>
      <c r="J89" s="9"/>
      <c r="K89" s="10"/>
      <c r="L89" s="9"/>
      <c r="M89" s="10"/>
      <c r="N89" s="9"/>
      <c r="O89" s="11"/>
      <c r="P89" s="11"/>
      <c r="Q89" s="10" t="e">
        <f t="shared" si="14"/>
        <v>#DIV/0!</v>
      </c>
      <c r="R89" s="9"/>
      <c r="S89" s="11"/>
      <c r="T89" s="10"/>
      <c r="U89" s="9"/>
      <c r="V89" s="11"/>
      <c r="W89" s="11"/>
      <c r="X89" s="10"/>
      <c r="Y89" s="9"/>
      <c r="Z89" s="8"/>
      <c r="AA89" s="7" t="s">
        <v>12</v>
      </c>
    </row>
    <row r="90" spans="2:27">
      <c r="B90" s="12">
        <v>46100</v>
      </c>
      <c r="C90" s="9"/>
      <c r="D90" s="11"/>
      <c r="E90" s="11"/>
      <c r="F90" s="10">
        <f t="shared" si="12"/>
        <v>0</v>
      </c>
      <c r="G90" s="9"/>
      <c r="H90" s="11"/>
      <c r="I90" s="10">
        <f t="shared" si="13"/>
        <v>0</v>
      </c>
      <c r="J90" s="9"/>
      <c r="K90" s="10"/>
      <c r="L90" s="9"/>
      <c r="M90" s="10"/>
      <c r="N90" s="9"/>
      <c r="O90" s="11"/>
      <c r="P90" s="11"/>
      <c r="Q90" s="10" t="e">
        <f t="shared" si="14"/>
        <v>#DIV/0!</v>
      </c>
      <c r="R90" s="9"/>
      <c r="S90" s="11"/>
      <c r="T90" s="10"/>
      <c r="U90" s="9"/>
      <c r="V90" s="11"/>
      <c r="W90" s="11"/>
      <c r="X90" s="10"/>
      <c r="Y90" s="9"/>
      <c r="Z90" s="8"/>
      <c r="AA90" s="7" t="s">
        <v>11</v>
      </c>
    </row>
    <row r="91" spans="2:27">
      <c r="B91" s="12">
        <v>46101</v>
      </c>
      <c r="C91" s="9"/>
      <c r="D91" s="11"/>
      <c r="E91" s="11"/>
      <c r="F91" s="10">
        <f t="shared" si="12"/>
        <v>0</v>
      </c>
      <c r="G91" s="9"/>
      <c r="H91" s="11"/>
      <c r="I91" s="10">
        <f t="shared" si="13"/>
        <v>0</v>
      </c>
      <c r="J91" s="9"/>
      <c r="K91" s="10"/>
      <c r="L91" s="9"/>
      <c r="M91" s="10"/>
      <c r="N91" s="9"/>
      <c r="O91" s="11"/>
      <c r="P91" s="11"/>
      <c r="Q91" s="10" t="e">
        <f t="shared" si="14"/>
        <v>#DIV/0!</v>
      </c>
      <c r="R91" s="9"/>
      <c r="S91" s="11"/>
      <c r="T91" s="10"/>
      <c r="U91" s="9"/>
      <c r="V91" s="11"/>
      <c r="W91" s="11"/>
      <c r="X91" s="10"/>
      <c r="Y91" s="9"/>
      <c r="Z91" s="8"/>
      <c r="AA91" s="7" t="s">
        <v>10</v>
      </c>
    </row>
    <row r="92" spans="2:27">
      <c r="B92" s="12">
        <v>46102</v>
      </c>
      <c r="C92" s="9"/>
      <c r="D92" s="11"/>
      <c r="E92" s="11"/>
      <c r="F92" s="10">
        <f t="shared" si="12"/>
        <v>0</v>
      </c>
      <c r="G92" s="9"/>
      <c r="H92" s="11"/>
      <c r="I92" s="10">
        <f t="shared" si="13"/>
        <v>0</v>
      </c>
      <c r="J92" s="9"/>
      <c r="K92" s="10"/>
      <c r="L92" s="9"/>
      <c r="M92" s="10"/>
      <c r="N92" s="9"/>
      <c r="O92" s="11"/>
      <c r="P92" s="11"/>
      <c r="Q92" s="10" t="e">
        <f t="shared" si="14"/>
        <v>#DIV/0!</v>
      </c>
      <c r="R92" s="9"/>
      <c r="S92" s="11"/>
      <c r="T92" s="10"/>
      <c r="U92" s="9"/>
      <c r="V92" s="11"/>
      <c r="W92" s="11"/>
      <c r="X92" s="10"/>
      <c r="Y92" s="9"/>
      <c r="Z92" s="8"/>
      <c r="AA92" s="7" t="s">
        <v>9</v>
      </c>
    </row>
    <row r="93" spans="2:27">
      <c r="B93" s="12">
        <v>46103</v>
      </c>
      <c r="C93" s="9"/>
      <c r="D93" s="11"/>
      <c r="E93" s="11"/>
      <c r="F93" s="10">
        <f t="shared" si="12"/>
        <v>0</v>
      </c>
      <c r="G93" s="9"/>
      <c r="H93" s="11"/>
      <c r="I93" s="10">
        <f t="shared" si="13"/>
        <v>0</v>
      </c>
      <c r="J93" s="9"/>
      <c r="K93" s="10"/>
      <c r="L93" s="9"/>
      <c r="M93" s="10"/>
      <c r="N93" s="9"/>
      <c r="O93" s="11"/>
      <c r="P93" s="11"/>
      <c r="Q93" s="10" t="e">
        <f t="shared" si="14"/>
        <v>#DIV/0!</v>
      </c>
      <c r="R93" s="9"/>
      <c r="S93" s="11"/>
      <c r="T93" s="10"/>
      <c r="U93" s="9"/>
      <c r="V93" s="11"/>
      <c r="W93" s="11"/>
      <c r="X93" s="10"/>
      <c r="Y93" s="9"/>
      <c r="Z93" s="8"/>
      <c r="AA93" s="7" t="s">
        <v>8</v>
      </c>
    </row>
    <row r="94" spans="2:27">
      <c r="B94" s="12">
        <v>46104</v>
      </c>
      <c r="C94" s="9"/>
      <c r="D94" s="11"/>
      <c r="E94" s="11"/>
      <c r="F94" s="10">
        <f t="shared" si="12"/>
        <v>0</v>
      </c>
      <c r="G94" s="9"/>
      <c r="H94" s="11"/>
      <c r="I94" s="10">
        <f t="shared" si="13"/>
        <v>0</v>
      </c>
      <c r="J94" s="9"/>
      <c r="K94" s="10"/>
      <c r="L94" s="9"/>
      <c r="M94" s="10"/>
      <c r="N94" s="9"/>
      <c r="O94" s="11"/>
      <c r="P94" s="11"/>
      <c r="Q94" s="10" t="e">
        <f t="shared" si="14"/>
        <v>#DIV/0!</v>
      </c>
      <c r="R94" s="9"/>
      <c r="S94" s="11"/>
      <c r="T94" s="10"/>
      <c r="U94" s="9"/>
      <c r="V94" s="11"/>
      <c r="W94" s="11"/>
      <c r="X94" s="10"/>
      <c r="Y94" s="9"/>
      <c r="Z94" s="8"/>
      <c r="AA94" s="7" t="s">
        <v>7</v>
      </c>
    </row>
    <row r="95" spans="2:27">
      <c r="B95" s="12">
        <v>46105</v>
      </c>
      <c r="C95" s="9"/>
      <c r="D95" s="11"/>
      <c r="E95" s="11"/>
      <c r="F95" s="10">
        <f t="shared" si="12"/>
        <v>0</v>
      </c>
      <c r="G95" s="9"/>
      <c r="H95" s="11"/>
      <c r="I95" s="10">
        <f t="shared" si="13"/>
        <v>0</v>
      </c>
      <c r="J95" s="9"/>
      <c r="K95" s="10"/>
      <c r="L95" s="9"/>
      <c r="M95" s="10"/>
      <c r="N95" s="9"/>
      <c r="O95" s="11"/>
      <c r="P95" s="11"/>
      <c r="Q95" s="10" t="e">
        <f t="shared" si="14"/>
        <v>#DIV/0!</v>
      </c>
      <c r="R95" s="9"/>
      <c r="S95" s="11"/>
      <c r="T95" s="10"/>
      <c r="U95" s="9"/>
      <c r="V95" s="11"/>
      <c r="W95" s="11"/>
      <c r="X95" s="10"/>
      <c r="Y95" s="9"/>
      <c r="Z95" s="8"/>
      <c r="AA95" s="7" t="s">
        <v>6</v>
      </c>
    </row>
    <row r="96" spans="2:27">
      <c r="B96" s="12">
        <v>46106</v>
      </c>
      <c r="C96" s="9"/>
      <c r="D96" s="11"/>
      <c r="E96" s="11"/>
      <c r="F96" s="10">
        <f t="shared" si="12"/>
        <v>0</v>
      </c>
      <c r="G96" s="9"/>
      <c r="H96" s="11"/>
      <c r="I96" s="10">
        <f t="shared" si="13"/>
        <v>0</v>
      </c>
      <c r="J96" s="9"/>
      <c r="K96" s="10"/>
      <c r="L96" s="9"/>
      <c r="M96" s="10"/>
      <c r="N96" s="9"/>
      <c r="O96" s="11"/>
      <c r="P96" s="11"/>
      <c r="Q96" s="10" t="e">
        <f t="shared" si="14"/>
        <v>#DIV/0!</v>
      </c>
      <c r="R96" s="9"/>
      <c r="S96" s="11"/>
      <c r="T96" s="10"/>
      <c r="U96" s="9"/>
      <c r="V96" s="11"/>
      <c r="W96" s="11"/>
      <c r="X96" s="10"/>
      <c r="Y96" s="9"/>
      <c r="Z96" s="8"/>
      <c r="AA96" s="7" t="s">
        <v>5</v>
      </c>
    </row>
    <row r="97" spans="2:27">
      <c r="B97" s="12">
        <v>46107</v>
      </c>
      <c r="C97" s="9"/>
      <c r="D97" s="11"/>
      <c r="E97" s="11"/>
      <c r="F97" s="10">
        <f t="shared" si="12"/>
        <v>0</v>
      </c>
      <c r="G97" s="9"/>
      <c r="H97" s="11"/>
      <c r="I97" s="10">
        <f t="shared" si="13"/>
        <v>0</v>
      </c>
      <c r="J97" s="9"/>
      <c r="K97" s="10"/>
      <c r="L97" s="9"/>
      <c r="M97" s="10"/>
      <c r="N97" s="9"/>
      <c r="O97" s="11"/>
      <c r="P97" s="11"/>
      <c r="Q97" s="10" t="e">
        <f t="shared" si="14"/>
        <v>#DIV/0!</v>
      </c>
      <c r="R97" s="9"/>
      <c r="S97" s="11"/>
      <c r="T97" s="10"/>
      <c r="U97" s="9"/>
      <c r="V97" s="11"/>
      <c r="W97" s="11"/>
      <c r="X97" s="10"/>
      <c r="Y97" s="9"/>
      <c r="Z97" s="8"/>
      <c r="AA97" s="7" t="s">
        <v>4</v>
      </c>
    </row>
    <row r="98" spans="2:27">
      <c r="B98" s="12">
        <v>46108</v>
      </c>
      <c r="C98" s="9"/>
      <c r="D98" s="11"/>
      <c r="E98" s="11"/>
      <c r="F98" s="10">
        <f t="shared" si="12"/>
        <v>0</v>
      </c>
      <c r="G98" s="9"/>
      <c r="H98" s="11"/>
      <c r="I98" s="10">
        <f t="shared" si="13"/>
        <v>0</v>
      </c>
      <c r="J98" s="9"/>
      <c r="K98" s="10"/>
      <c r="L98" s="9"/>
      <c r="M98" s="10"/>
      <c r="N98" s="9"/>
      <c r="O98" s="11"/>
      <c r="P98" s="11"/>
      <c r="Q98" s="10" t="e">
        <f t="shared" si="14"/>
        <v>#DIV/0!</v>
      </c>
      <c r="R98" s="9"/>
      <c r="S98" s="11"/>
      <c r="T98" s="10"/>
      <c r="U98" s="9"/>
      <c r="V98" s="11"/>
      <c r="W98" s="11"/>
      <c r="X98" s="10"/>
      <c r="Y98" s="9"/>
      <c r="Z98" s="8"/>
      <c r="AA98" s="7" t="s">
        <v>3</v>
      </c>
    </row>
    <row r="99" spans="2:27">
      <c r="B99" s="12">
        <v>46109</v>
      </c>
      <c r="C99" s="9"/>
      <c r="D99" s="11"/>
      <c r="E99" s="11"/>
      <c r="F99" s="10">
        <f t="shared" si="12"/>
        <v>0</v>
      </c>
      <c r="G99" s="9"/>
      <c r="H99" s="11"/>
      <c r="I99" s="10">
        <f t="shared" si="13"/>
        <v>0</v>
      </c>
      <c r="J99" s="9"/>
      <c r="K99" s="10"/>
      <c r="L99" s="9"/>
      <c r="M99" s="10"/>
      <c r="N99" s="9"/>
      <c r="O99" s="11"/>
      <c r="P99" s="11"/>
      <c r="Q99" s="10" t="e">
        <f t="shared" si="14"/>
        <v>#DIV/0!</v>
      </c>
      <c r="R99" s="9"/>
      <c r="S99" s="11"/>
      <c r="T99" s="10"/>
      <c r="U99" s="9"/>
      <c r="V99" s="11"/>
      <c r="W99" s="11"/>
      <c r="X99" s="10"/>
      <c r="Y99" s="9"/>
      <c r="Z99" s="8"/>
      <c r="AA99" s="7" t="s">
        <v>2</v>
      </c>
    </row>
    <row r="100" spans="2:27">
      <c r="B100" s="12">
        <v>46110</v>
      </c>
      <c r="C100" s="9"/>
      <c r="D100" s="11"/>
      <c r="E100" s="11"/>
      <c r="F100" s="10">
        <f t="shared" si="12"/>
        <v>0</v>
      </c>
      <c r="G100" s="9"/>
      <c r="H100" s="11"/>
      <c r="I100" s="10">
        <f t="shared" si="13"/>
        <v>0</v>
      </c>
      <c r="J100" s="9"/>
      <c r="K100" s="10"/>
      <c r="L100" s="9"/>
      <c r="M100" s="10"/>
      <c r="N100" s="9"/>
      <c r="O100" s="11"/>
      <c r="P100" s="11"/>
      <c r="Q100" s="10" t="e">
        <f t="shared" si="14"/>
        <v>#DIV/0!</v>
      </c>
      <c r="R100" s="9"/>
      <c r="S100" s="11"/>
      <c r="T100" s="10"/>
      <c r="U100" s="9"/>
      <c r="V100" s="11"/>
      <c r="W100" s="11"/>
      <c r="X100" s="10"/>
      <c r="Y100" s="9"/>
      <c r="Z100" s="8"/>
      <c r="AA100" s="7" t="s">
        <v>1</v>
      </c>
    </row>
    <row r="101" spans="2:27">
      <c r="B101" s="12">
        <v>46111</v>
      </c>
      <c r="C101" s="9"/>
      <c r="D101" s="11"/>
      <c r="E101" s="11"/>
      <c r="F101" s="10">
        <f t="shared" si="12"/>
        <v>0</v>
      </c>
      <c r="G101" s="9"/>
      <c r="H101" s="11"/>
      <c r="I101" s="10">
        <f t="shared" si="13"/>
        <v>0</v>
      </c>
      <c r="J101" s="9"/>
      <c r="K101" s="10"/>
      <c r="L101" s="9"/>
      <c r="M101" s="10"/>
      <c r="N101" s="9"/>
      <c r="O101" s="11"/>
      <c r="P101" s="11"/>
      <c r="Q101" s="10" t="e">
        <f t="shared" si="14"/>
        <v>#DIV/0!</v>
      </c>
      <c r="R101" s="9"/>
      <c r="S101" s="11"/>
      <c r="T101" s="10"/>
      <c r="U101" s="9"/>
      <c r="V101" s="11"/>
      <c r="W101" s="11"/>
      <c r="X101" s="10"/>
      <c r="Y101" s="9"/>
      <c r="Z101" s="8"/>
      <c r="AA101" s="7" t="s">
        <v>59</v>
      </c>
    </row>
    <row r="102" spans="2:27" ht="17.25" thickBot="1">
      <c r="B102" s="33">
        <v>46112</v>
      </c>
      <c r="C102" s="3"/>
      <c r="D102" s="5"/>
      <c r="E102" s="5"/>
      <c r="F102" s="4">
        <f t="shared" si="12"/>
        <v>0</v>
      </c>
      <c r="G102" s="3"/>
      <c r="H102" s="5"/>
      <c r="I102" s="4">
        <f t="shared" si="13"/>
        <v>0</v>
      </c>
      <c r="J102" s="3"/>
      <c r="K102" s="4"/>
      <c r="L102" s="3"/>
      <c r="M102" s="4"/>
      <c r="N102" s="3"/>
      <c r="O102" s="5"/>
      <c r="P102" s="5"/>
      <c r="Q102" s="4" t="e">
        <f t="shared" si="14"/>
        <v>#DIV/0!</v>
      </c>
      <c r="R102" s="3"/>
      <c r="S102" s="5"/>
      <c r="T102" s="4"/>
      <c r="U102" s="3"/>
      <c r="V102" s="5"/>
      <c r="W102" s="5"/>
      <c r="X102" s="4"/>
      <c r="Y102" s="3"/>
      <c r="Z102" s="2"/>
      <c r="AA102" s="1" t="s">
        <v>72</v>
      </c>
    </row>
    <row r="103" spans="2:27" ht="17.25" thickBot="1"/>
    <row r="104" spans="2:27" ht="27" customHeight="1" thickBot="1">
      <c r="B104" s="194"/>
      <c r="C104" s="196" t="s">
        <v>68</v>
      </c>
      <c r="D104" s="197"/>
      <c r="E104" s="197"/>
      <c r="F104" s="198"/>
      <c r="G104" s="199" t="s">
        <v>67</v>
      </c>
      <c r="H104" s="200"/>
      <c r="I104" s="201"/>
      <c r="J104" s="196" t="s">
        <v>66</v>
      </c>
      <c r="K104" s="198"/>
      <c r="L104" s="202" t="s">
        <v>65</v>
      </c>
      <c r="M104" s="198"/>
      <c r="N104" s="203" t="s">
        <v>64</v>
      </c>
      <c r="O104" s="204"/>
      <c r="P104" s="204"/>
      <c r="Q104" s="205"/>
      <c r="R104" s="196" t="s">
        <v>63</v>
      </c>
      <c r="S104" s="197"/>
      <c r="T104" s="198"/>
      <c r="U104" s="196" t="s">
        <v>62</v>
      </c>
      <c r="V104" s="197"/>
      <c r="W104" s="197"/>
      <c r="X104" s="198"/>
      <c r="Y104" s="196" t="s">
        <v>61</v>
      </c>
      <c r="Z104" s="197"/>
      <c r="AA104" s="192" t="s">
        <v>49</v>
      </c>
    </row>
    <row r="105" spans="2:27" ht="27" customHeight="1" thickBot="1">
      <c r="B105" s="195"/>
      <c r="C105" s="25" t="s">
        <v>48</v>
      </c>
      <c r="D105" s="27" t="s">
        <v>47</v>
      </c>
      <c r="E105" s="27" t="s">
        <v>46</v>
      </c>
      <c r="F105" s="26" t="s">
        <v>45</v>
      </c>
      <c r="G105" s="25" t="s">
        <v>43</v>
      </c>
      <c r="H105" s="27" t="s">
        <v>42</v>
      </c>
      <c r="I105" s="26" t="s">
        <v>44</v>
      </c>
      <c r="J105" s="25" t="s">
        <v>43</v>
      </c>
      <c r="K105" s="26" t="s">
        <v>42</v>
      </c>
      <c r="L105" s="25" t="s">
        <v>43</v>
      </c>
      <c r="M105" s="26" t="s">
        <v>42</v>
      </c>
      <c r="N105" s="31" t="s">
        <v>41</v>
      </c>
      <c r="O105" s="30" t="s">
        <v>40</v>
      </c>
      <c r="P105" s="30" t="s">
        <v>39</v>
      </c>
      <c r="Q105" s="29" t="s">
        <v>38</v>
      </c>
      <c r="R105" s="108" t="s">
        <v>143</v>
      </c>
      <c r="S105" s="107" t="s">
        <v>144</v>
      </c>
      <c r="T105" s="26" t="s">
        <v>37</v>
      </c>
      <c r="U105" s="25" t="s">
        <v>36</v>
      </c>
      <c r="V105" s="28" t="s">
        <v>35</v>
      </c>
      <c r="W105" s="27" t="s">
        <v>34</v>
      </c>
      <c r="X105" s="26" t="s">
        <v>33</v>
      </c>
      <c r="Y105" s="25" t="s">
        <v>32</v>
      </c>
      <c r="Z105" s="24" t="s">
        <v>31</v>
      </c>
      <c r="AA105" s="193"/>
    </row>
    <row r="106" spans="2:27" ht="20.25" customHeight="1" thickBot="1">
      <c r="B106" s="23" t="s">
        <v>69</v>
      </c>
      <c r="C106" s="20">
        <f t="shared" ref="C106:I106" si="15">SUM(C107:C136)</f>
        <v>0</v>
      </c>
      <c r="D106" s="22">
        <f t="shared" si="15"/>
        <v>0</v>
      </c>
      <c r="E106" s="22">
        <f t="shared" si="15"/>
        <v>0</v>
      </c>
      <c r="F106" s="21">
        <f t="shared" si="15"/>
        <v>0</v>
      </c>
      <c r="G106" s="20">
        <f t="shared" si="15"/>
        <v>0</v>
      </c>
      <c r="H106" s="22">
        <f t="shared" si="15"/>
        <v>0</v>
      </c>
      <c r="I106" s="21">
        <f t="shared" si="15"/>
        <v>0</v>
      </c>
      <c r="J106" s="20">
        <f>IFERROR(AVERAGE(J107:J136),0)</f>
        <v>0</v>
      </c>
      <c r="K106" s="21">
        <f>IFERROR(AVERAGE(K107:K136),0)</f>
        <v>0</v>
      </c>
      <c r="L106" s="20">
        <f>IFERROR(AVERAGE(L107:L136),0)</f>
        <v>0</v>
      </c>
      <c r="M106" s="21">
        <f>IFERROR(AVERAGE(M107:M136),0)</f>
        <v>0</v>
      </c>
      <c r="N106" s="20">
        <f>SUM(N107:N136)</f>
        <v>0</v>
      </c>
      <c r="O106" s="22">
        <f>SUM(O107:O136)</f>
        <v>0</v>
      </c>
      <c r="P106" s="22">
        <f>SUM(P107:P136)</f>
        <v>0</v>
      </c>
      <c r="Q106" s="21">
        <f>IFERROR(O106/N106*100,0)</f>
        <v>0</v>
      </c>
      <c r="R106" s="20">
        <f t="shared" ref="R106:Z106" si="16">SUM(R107:R136)</f>
        <v>0</v>
      </c>
      <c r="S106" s="22">
        <f t="shared" si="16"/>
        <v>0</v>
      </c>
      <c r="T106" s="21">
        <f t="shared" si="16"/>
        <v>0</v>
      </c>
      <c r="U106" s="20">
        <f>SUM(U107:U136)</f>
        <v>0</v>
      </c>
      <c r="V106" s="22">
        <f t="shared" si="16"/>
        <v>0</v>
      </c>
      <c r="W106" s="22">
        <f t="shared" si="16"/>
        <v>0</v>
      </c>
      <c r="X106" s="21">
        <f t="shared" si="16"/>
        <v>0</v>
      </c>
      <c r="Y106" s="20">
        <f t="shared" si="16"/>
        <v>0</v>
      </c>
      <c r="Z106" s="19">
        <f t="shared" si="16"/>
        <v>0</v>
      </c>
      <c r="AA106" s="18"/>
    </row>
    <row r="107" spans="2:27">
      <c r="B107" s="12">
        <v>46113</v>
      </c>
      <c r="C107" s="15"/>
      <c r="D107" s="17"/>
      <c r="E107" s="17"/>
      <c r="F107" s="16">
        <f t="shared" ref="F107:F115" si="17">SUM(C107:E107)</f>
        <v>0</v>
      </c>
      <c r="G107" s="15"/>
      <c r="H107" s="17"/>
      <c r="I107" s="16">
        <f>SUM(G107:H107)</f>
        <v>0</v>
      </c>
      <c r="J107" s="15"/>
      <c r="K107" s="16"/>
      <c r="L107" s="15"/>
      <c r="M107" s="16"/>
      <c r="N107" s="15"/>
      <c r="O107" s="17"/>
      <c r="P107" s="17"/>
      <c r="Q107" s="16" t="e">
        <f t="shared" ref="Q107:Q136" si="18">O107/N107*100</f>
        <v>#DIV/0!</v>
      </c>
      <c r="R107" s="15"/>
      <c r="S107" s="17"/>
      <c r="T107" s="16"/>
      <c r="U107" s="15"/>
      <c r="V107" s="17"/>
      <c r="W107" s="17"/>
      <c r="X107" s="16"/>
      <c r="Y107" s="15"/>
      <c r="Z107" s="14"/>
      <c r="AA107" s="13" t="s">
        <v>176</v>
      </c>
    </row>
    <row r="108" spans="2:27">
      <c r="B108" s="12">
        <v>46114</v>
      </c>
      <c r="C108" s="9"/>
      <c r="D108" s="11"/>
      <c r="E108" s="11"/>
      <c r="F108" s="16">
        <f t="shared" si="17"/>
        <v>0</v>
      </c>
      <c r="G108" s="9"/>
      <c r="H108" s="11"/>
      <c r="I108" s="10">
        <v>0</v>
      </c>
      <c r="J108" s="9"/>
      <c r="K108" s="10"/>
      <c r="L108" s="9"/>
      <c r="M108" s="10"/>
      <c r="N108" s="9"/>
      <c r="O108" s="11"/>
      <c r="P108" s="11"/>
      <c r="Q108" s="10" t="e">
        <f t="shared" si="18"/>
        <v>#DIV/0!</v>
      </c>
      <c r="R108" s="9"/>
      <c r="S108" s="11"/>
      <c r="T108" s="10"/>
      <c r="U108" s="9"/>
      <c r="V108" s="11"/>
      <c r="W108" s="11"/>
      <c r="X108" s="10"/>
      <c r="Y108" s="9"/>
      <c r="Z108" s="8"/>
      <c r="AA108" s="102" t="s">
        <v>177</v>
      </c>
    </row>
    <row r="109" spans="2:27">
      <c r="B109" s="12">
        <v>46115</v>
      </c>
      <c r="C109" s="9"/>
      <c r="D109" s="11"/>
      <c r="E109" s="11"/>
      <c r="F109" s="16">
        <f t="shared" si="17"/>
        <v>0</v>
      </c>
      <c r="G109" s="9"/>
      <c r="H109" s="11"/>
      <c r="I109" s="10">
        <v>0</v>
      </c>
      <c r="J109" s="9"/>
      <c r="K109" s="10"/>
      <c r="L109" s="9"/>
      <c r="M109" s="10"/>
      <c r="N109" s="9"/>
      <c r="O109" s="11"/>
      <c r="P109" s="11"/>
      <c r="Q109" s="10" t="e">
        <f t="shared" si="18"/>
        <v>#DIV/0!</v>
      </c>
      <c r="R109" s="9"/>
      <c r="S109" s="11"/>
      <c r="T109" s="10"/>
      <c r="U109" s="9"/>
      <c r="V109" s="11"/>
      <c r="W109" s="11"/>
      <c r="X109" s="10"/>
      <c r="Y109" s="9"/>
      <c r="Z109" s="8"/>
      <c r="AA109" s="13" t="s">
        <v>178</v>
      </c>
    </row>
    <row r="110" spans="2:27">
      <c r="B110" s="12">
        <v>46116</v>
      </c>
      <c r="C110" s="9"/>
      <c r="D110" s="11"/>
      <c r="E110" s="11"/>
      <c r="F110" s="16">
        <f t="shared" si="17"/>
        <v>0</v>
      </c>
      <c r="G110" s="9"/>
      <c r="H110" s="11"/>
      <c r="I110" s="10">
        <v>0</v>
      </c>
      <c r="J110" s="9"/>
      <c r="K110" s="10"/>
      <c r="L110" s="9"/>
      <c r="M110" s="10"/>
      <c r="N110" s="9"/>
      <c r="O110" s="11"/>
      <c r="P110" s="11"/>
      <c r="Q110" s="10" t="e">
        <f t="shared" si="18"/>
        <v>#DIV/0!</v>
      </c>
      <c r="R110" s="9"/>
      <c r="S110" s="11"/>
      <c r="T110" s="10"/>
      <c r="U110" s="9"/>
      <c r="V110" s="11"/>
      <c r="W110" s="11"/>
      <c r="X110" s="10"/>
      <c r="Y110" s="9"/>
      <c r="Z110" s="8"/>
      <c r="AA110" s="102" t="s">
        <v>179</v>
      </c>
    </row>
    <row r="111" spans="2:27">
      <c r="B111" s="12">
        <v>46117</v>
      </c>
      <c r="C111" s="9"/>
      <c r="D111" s="11"/>
      <c r="E111" s="11"/>
      <c r="F111" s="10">
        <f t="shared" si="17"/>
        <v>0</v>
      </c>
      <c r="G111" s="9"/>
      <c r="H111" s="11"/>
      <c r="I111" s="10">
        <v>0</v>
      </c>
      <c r="J111" s="9"/>
      <c r="K111" s="10"/>
      <c r="L111" s="9"/>
      <c r="M111" s="10"/>
      <c r="N111" s="9"/>
      <c r="O111" s="11"/>
      <c r="P111" s="11"/>
      <c r="Q111" s="10" t="e">
        <f t="shared" si="18"/>
        <v>#DIV/0!</v>
      </c>
      <c r="R111" s="9"/>
      <c r="S111" s="11"/>
      <c r="T111" s="10"/>
      <c r="U111" s="9"/>
      <c r="V111" s="11"/>
      <c r="W111" s="11"/>
      <c r="X111" s="10"/>
      <c r="Y111" s="9"/>
      <c r="Z111" s="8"/>
      <c r="AA111" s="13" t="s">
        <v>180</v>
      </c>
    </row>
    <row r="112" spans="2:27">
      <c r="B112" s="12">
        <v>46118</v>
      </c>
      <c r="C112" s="9"/>
      <c r="D112" s="11"/>
      <c r="E112" s="11"/>
      <c r="F112" s="10">
        <f t="shared" si="17"/>
        <v>0</v>
      </c>
      <c r="G112" s="9"/>
      <c r="H112" s="11"/>
      <c r="I112" s="10">
        <v>0</v>
      </c>
      <c r="J112" s="9"/>
      <c r="K112" s="10"/>
      <c r="L112" s="9"/>
      <c r="M112" s="10"/>
      <c r="N112" s="9"/>
      <c r="O112" s="11"/>
      <c r="P112" s="11"/>
      <c r="Q112" s="10" t="e">
        <f t="shared" si="18"/>
        <v>#DIV/0!</v>
      </c>
      <c r="R112" s="9"/>
      <c r="S112" s="11"/>
      <c r="T112" s="10"/>
      <c r="U112" s="9"/>
      <c r="V112" s="11"/>
      <c r="W112" s="11"/>
      <c r="X112" s="10"/>
      <c r="Y112" s="9"/>
      <c r="Z112" s="8"/>
      <c r="AA112" s="102" t="s">
        <v>24</v>
      </c>
    </row>
    <row r="113" spans="2:27">
      <c r="B113" s="12">
        <v>46119</v>
      </c>
      <c r="C113" s="9"/>
      <c r="D113" s="11"/>
      <c r="E113" s="11"/>
      <c r="F113" s="10">
        <f t="shared" si="17"/>
        <v>0</v>
      </c>
      <c r="G113" s="9"/>
      <c r="H113" s="11"/>
      <c r="I113" s="10">
        <v>0</v>
      </c>
      <c r="J113" s="9"/>
      <c r="K113" s="10"/>
      <c r="L113" s="9"/>
      <c r="M113" s="10"/>
      <c r="N113" s="9"/>
      <c r="O113" s="11"/>
      <c r="P113" s="11"/>
      <c r="Q113" s="10" t="e">
        <f t="shared" si="18"/>
        <v>#DIV/0!</v>
      </c>
      <c r="R113" s="9"/>
      <c r="S113" s="11"/>
      <c r="T113" s="10"/>
      <c r="U113" s="9"/>
      <c r="V113" s="11"/>
      <c r="W113" s="11"/>
      <c r="X113" s="10"/>
      <c r="Y113" s="9"/>
      <c r="Z113" s="8"/>
      <c r="AA113" s="13" t="s">
        <v>23</v>
      </c>
    </row>
    <row r="114" spans="2:27">
      <c r="B114" s="12">
        <v>46120</v>
      </c>
      <c r="C114" s="9"/>
      <c r="D114" s="11"/>
      <c r="E114" s="11"/>
      <c r="F114" s="10">
        <f t="shared" si="17"/>
        <v>0</v>
      </c>
      <c r="G114" s="9"/>
      <c r="H114" s="11"/>
      <c r="I114" s="10">
        <v>0</v>
      </c>
      <c r="J114" s="9"/>
      <c r="K114" s="10"/>
      <c r="L114" s="9"/>
      <c r="M114" s="10"/>
      <c r="N114" s="9"/>
      <c r="O114" s="11"/>
      <c r="P114" s="11"/>
      <c r="Q114" s="10" t="e">
        <f t="shared" si="18"/>
        <v>#DIV/0!</v>
      </c>
      <c r="R114" s="9"/>
      <c r="S114" s="11"/>
      <c r="T114" s="10"/>
      <c r="U114" s="9"/>
      <c r="V114" s="11"/>
      <c r="W114" s="11"/>
      <c r="X114" s="10"/>
      <c r="Y114" s="9"/>
      <c r="Z114" s="8"/>
      <c r="AA114" s="102" t="s">
        <v>22</v>
      </c>
    </row>
    <row r="115" spans="2:27">
      <c r="B115" s="12">
        <v>46121</v>
      </c>
      <c r="C115" s="9"/>
      <c r="D115" s="11"/>
      <c r="E115" s="11"/>
      <c r="F115" s="10">
        <f t="shared" si="17"/>
        <v>0</v>
      </c>
      <c r="G115" s="9"/>
      <c r="H115" s="11"/>
      <c r="I115" s="10">
        <v>0</v>
      </c>
      <c r="J115" s="9"/>
      <c r="K115" s="10"/>
      <c r="L115" s="9"/>
      <c r="M115" s="10"/>
      <c r="N115" s="9"/>
      <c r="O115" s="11"/>
      <c r="P115" s="11"/>
      <c r="Q115" s="10" t="e">
        <f t="shared" si="18"/>
        <v>#DIV/0!</v>
      </c>
      <c r="R115" s="9"/>
      <c r="S115" s="11"/>
      <c r="T115" s="10"/>
      <c r="U115" s="9"/>
      <c r="V115" s="11"/>
      <c r="W115" s="11"/>
      <c r="X115" s="10"/>
      <c r="Y115" s="9"/>
      <c r="Z115" s="8"/>
      <c r="AA115" s="13" t="s">
        <v>21</v>
      </c>
    </row>
    <row r="116" spans="2:27">
      <c r="B116" s="12">
        <v>46122</v>
      </c>
      <c r="C116" s="9"/>
      <c r="D116" s="11"/>
      <c r="E116" s="11"/>
      <c r="F116" s="10">
        <f t="shared" ref="F116:F136" si="19">SUM(C116:E116)</f>
        <v>0</v>
      </c>
      <c r="G116" s="9"/>
      <c r="H116" s="11"/>
      <c r="I116" s="10">
        <v>0</v>
      </c>
      <c r="J116" s="9"/>
      <c r="K116" s="10"/>
      <c r="L116" s="9"/>
      <c r="M116" s="10"/>
      <c r="N116" s="9"/>
      <c r="O116" s="11"/>
      <c r="P116" s="11"/>
      <c r="Q116" s="10" t="e">
        <f t="shared" si="18"/>
        <v>#DIV/0!</v>
      </c>
      <c r="R116" s="9"/>
      <c r="S116" s="11"/>
      <c r="T116" s="10"/>
      <c r="U116" s="9"/>
      <c r="V116" s="11"/>
      <c r="W116" s="11"/>
      <c r="X116" s="10"/>
      <c r="Y116" s="9"/>
      <c r="Z116" s="8"/>
      <c r="AA116" s="102" t="s">
        <v>20</v>
      </c>
    </row>
    <row r="117" spans="2:27">
      <c r="B117" s="12">
        <v>46123</v>
      </c>
      <c r="C117" s="9"/>
      <c r="D117" s="11"/>
      <c r="E117" s="11"/>
      <c r="F117" s="10">
        <f t="shared" si="19"/>
        <v>0</v>
      </c>
      <c r="G117" s="9"/>
      <c r="H117" s="11"/>
      <c r="I117" s="10">
        <v>0</v>
      </c>
      <c r="J117" s="9"/>
      <c r="K117" s="10"/>
      <c r="L117" s="9"/>
      <c r="M117" s="10"/>
      <c r="N117" s="9"/>
      <c r="O117" s="11"/>
      <c r="P117" s="11"/>
      <c r="Q117" s="10" t="e">
        <f t="shared" si="18"/>
        <v>#DIV/0!</v>
      </c>
      <c r="R117" s="9"/>
      <c r="S117" s="11"/>
      <c r="T117" s="10"/>
      <c r="U117" s="9"/>
      <c r="V117" s="11"/>
      <c r="W117" s="11"/>
      <c r="X117" s="10"/>
      <c r="Y117" s="9"/>
      <c r="Z117" s="8"/>
      <c r="AA117" s="13" t="s">
        <v>19</v>
      </c>
    </row>
    <row r="118" spans="2:27">
      <c r="B118" s="12">
        <v>46124</v>
      </c>
      <c r="C118" s="9"/>
      <c r="D118" s="11"/>
      <c r="E118" s="11"/>
      <c r="F118" s="10">
        <f t="shared" si="19"/>
        <v>0</v>
      </c>
      <c r="G118" s="9"/>
      <c r="H118" s="11"/>
      <c r="I118" s="10">
        <v>0</v>
      </c>
      <c r="J118" s="9"/>
      <c r="K118" s="10"/>
      <c r="L118" s="9"/>
      <c r="M118" s="10"/>
      <c r="N118" s="9"/>
      <c r="O118" s="11"/>
      <c r="P118" s="11"/>
      <c r="Q118" s="10" t="e">
        <f t="shared" si="18"/>
        <v>#DIV/0!</v>
      </c>
      <c r="R118" s="9"/>
      <c r="S118" s="11"/>
      <c r="T118" s="10"/>
      <c r="U118" s="9"/>
      <c r="V118" s="11"/>
      <c r="W118" s="11"/>
      <c r="X118" s="10"/>
      <c r="Y118" s="9"/>
      <c r="Z118" s="8"/>
      <c r="AA118" s="7" t="s">
        <v>18</v>
      </c>
    </row>
    <row r="119" spans="2:27">
      <c r="B119" s="12">
        <v>46125</v>
      </c>
      <c r="C119" s="9"/>
      <c r="D119" s="11"/>
      <c r="E119" s="11"/>
      <c r="F119" s="10">
        <f t="shared" si="19"/>
        <v>0</v>
      </c>
      <c r="G119" s="9"/>
      <c r="H119" s="11"/>
      <c r="I119" s="10">
        <f>SUM(G119:H119)</f>
        <v>0</v>
      </c>
      <c r="J119" s="9"/>
      <c r="K119" s="10"/>
      <c r="L119" s="9"/>
      <c r="M119" s="10"/>
      <c r="N119" s="9"/>
      <c r="O119" s="11"/>
      <c r="P119" s="11"/>
      <c r="Q119" s="10" t="e">
        <f>O119/N119*100</f>
        <v>#DIV/0!</v>
      </c>
      <c r="R119" s="9"/>
      <c r="S119" s="11"/>
      <c r="T119" s="10"/>
      <c r="U119" s="9"/>
      <c r="V119" s="11"/>
      <c r="W119" s="11"/>
      <c r="X119" s="10"/>
      <c r="Y119" s="9"/>
      <c r="Z119" s="8"/>
      <c r="AA119" s="7" t="s">
        <v>17</v>
      </c>
    </row>
    <row r="120" spans="2:27">
      <c r="B120" s="12">
        <v>46126</v>
      </c>
      <c r="C120" s="9"/>
      <c r="D120" s="11"/>
      <c r="E120" s="11"/>
      <c r="F120" s="10">
        <f t="shared" si="19"/>
        <v>0</v>
      </c>
      <c r="G120" s="9"/>
      <c r="H120" s="11"/>
      <c r="I120" s="10">
        <f>SUM(G120:H120)</f>
        <v>0</v>
      </c>
      <c r="J120" s="9"/>
      <c r="K120" s="10"/>
      <c r="L120" s="9"/>
      <c r="M120" s="10"/>
      <c r="N120" s="9"/>
      <c r="O120" s="11"/>
      <c r="P120" s="11"/>
      <c r="Q120" s="10" t="e">
        <f t="shared" si="18"/>
        <v>#DIV/0!</v>
      </c>
      <c r="R120" s="9"/>
      <c r="S120" s="11"/>
      <c r="T120" s="10"/>
      <c r="U120" s="9"/>
      <c r="V120" s="11"/>
      <c r="W120" s="11"/>
      <c r="X120" s="10"/>
      <c r="Y120" s="9"/>
      <c r="Z120" s="8"/>
      <c r="AA120" s="7" t="s">
        <v>16</v>
      </c>
    </row>
    <row r="121" spans="2:27">
      <c r="B121" s="12">
        <v>46127</v>
      </c>
      <c r="C121" s="9"/>
      <c r="D121" s="11"/>
      <c r="E121" s="11"/>
      <c r="F121" s="10">
        <f t="shared" si="19"/>
        <v>0</v>
      </c>
      <c r="G121" s="9"/>
      <c r="H121" s="11"/>
      <c r="I121" s="10">
        <f>SUM(G121:H121)</f>
        <v>0</v>
      </c>
      <c r="J121" s="9"/>
      <c r="K121" s="10"/>
      <c r="L121" s="9"/>
      <c r="M121" s="10"/>
      <c r="N121" s="9"/>
      <c r="O121" s="11"/>
      <c r="P121" s="11"/>
      <c r="Q121" s="10" t="e">
        <f t="shared" si="18"/>
        <v>#DIV/0!</v>
      </c>
      <c r="R121" s="9"/>
      <c r="S121" s="11"/>
      <c r="T121" s="10"/>
      <c r="U121" s="9"/>
      <c r="V121" s="11"/>
      <c r="W121" s="11"/>
      <c r="X121" s="10"/>
      <c r="Y121" s="9"/>
      <c r="Z121" s="8"/>
      <c r="AA121" s="7" t="s">
        <v>15</v>
      </c>
    </row>
    <row r="122" spans="2:27">
      <c r="B122" s="12">
        <v>46128</v>
      </c>
      <c r="C122" s="9"/>
      <c r="D122" s="11"/>
      <c r="E122" s="11"/>
      <c r="F122" s="10">
        <f t="shared" si="19"/>
        <v>0</v>
      </c>
      <c r="G122" s="9"/>
      <c r="H122" s="11"/>
      <c r="I122" s="10">
        <f>SUM(G122:H122)</f>
        <v>0</v>
      </c>
      <c r="J122" s="9"/>
      <c r="K122" s="10"/>
      <c r="L122" s="9"/>
      <c r="M122" s="10"/>
      <c r="N122" s="9"/>
      <c r="O122" s="11"/>
      <c r="P122" s="11"/>
      <c r="Q122" s="10" t="e">
        <f t="shared" si="18"/>
        <v>#DIV/0!</v>
      </c>
      <c r="R122" s="9"/>
      <c r="S122" s="11"/>
      <c r="T122" s="10"/>
      <c r="U122" s="9"/>
      <c r="V122" s="11"/>
      <c r="W122" s="11"/>
      <c r="X122" s="10"/>
      <c r="Y122" s="9"/>
      <c r="Z122" s="8"/>
      <c r="AA122" s="7" t="s">
        <v>14</v>
      </c>
    </row>
    <row r="123" spans="2:27">
      <c r="B123" s="12">
        <v>46129</v>
      </c>
      <c r="C123" s="9"/>
      <c r="D123" s="11"/>
      <c r="E123" s="11"/>
      <c r="F123" s="10">
        <f t="shared" si="19"/>
        <v>0</v>
      </c>
      <c r="G123" s="9"/>
      <c r="H123" s="11"/>
      <c r="I123" s="10">
        <v>0</v>
      </c>
      <c r="J123" s="9"/>
      <c r="K123" s="10"/>
      <c r="L123" s="9"/>
      <c r="M123" s="10"/>
      <c r="N123" s="9"/>
      <c r="O123" s="11"/>
      <c r="P123" s="11"/>
      <c r="Q123" s="10" t="e">
        <f t="shared" si="18"/>
        <v>#DIV/0!</v>
      </c>
      <c r="R123" s="9"/>
      <c r="S123" s="11"/>
      <c r="T123" s="10"/>
      <c r="U123" s="9"/>
      <c r="V123" s="11"/>
      <c r="W123" s="11"/>
      <c r="X123" s="10"/>
      <c r="Y123" s="9"/>
      <c r="Z123" s="8"/>
      <c r="AA123" s="7" t="s">
        <v>13</v>
      </c>
    </row>
    <row r="124" spans="2:27">
      <c r="B124" s="12">
        <v>46130</v>
      </c>
      <c r="C124" s="9"/>
      <c r="D124" s="11"/>
      <c r="E124" s="11"/>
      <c r="F124" s="10">
        <f t="shared" si="19"/>
        <v>0</v>
      </c>
      <c r="G124" s="9"/>
      <c r="H124" s="11"/>
      <c r="I124" s="10">
        <v>0</v>
      </c>
      <c r="J124" s="9"/>
      <c r="K124" s="10"/>
      <c r="L124" s="9"/>
      <c r="M124" s="10"/>
      <c r="N124" s="9"/>
      <c r="O124" s="11"/>
      <c r="P124" s="11"/>
      <c r="Q124" s="10" t="e">
        <f t="shared" si="18"/>
        <v>#DIV/0!</v>
      </c>
      <c r="R124" s="9"/>
      <c r="S124" s="11"/>
      <c r="T124" s="10"/>
      <c r="U124" s="9"/>
      <c r="V124" s="11"/>
      <c r="W124" s="11"/>
      <c r="X124" s="10"/>
      <c r="Y124" s="9"/>
      <c r="Z124" s="8"/>
      <c r="AA124" s="7" t="s">
        <v>12</v>
      </c>
    </row>
    <row r="125" spans="2:27">
      <c r="B125" s="12">
        <v>46131</v>
      </c>
      <c r="C125" s="9"/>
      <c r="D125" s="11"/>
      <c r="E125" s="11"/>
      <c r="F125" s="10">
        <f t="shared" si="19"/>
        <v>0</v>
      </c>
      <c r="G125" s="9"/>
      <c r="H125" s="11"/>
      <c r="I125" s="10">
        <v>0</v>
      </c>
      <c r="J125" s="9"/>
      <c r="K125" s="10"/>
      <c r="L125" s="9"/>
      <c r="M125" s="10"/>
      <c r="N125" s="9"/>
      <c r="O125" s="11"/>
      <c r="P125" s="11"/>
      <c r="Q125" s="10" t="e">
        <f t="shared" si="18"/>
        <v>#DIV/0!</v>
      </c>
      <c r="R125" s="9"/>
      <c r="S125" s="11"/>
      <c r="T125" s="10"/>
      <c r="U125" s="9"/>
      <c r="V125" s="11"/>
      <c r="W125" s="11"/>
      <c r="X125" s="10"/>
      <c r="Y125" s="9"/>
      <c r="Z125" s="8"/>
      <c r="AA125" s="7" t="s">
        <v>11</v>
      </c>
    </row>
    <row r="126" spans="2:27">
      <c r="B126" s="12">
        <v>46132</v>
      </c>
      <c r="C126" s="9"/>
      <c r="D126" s="11"/>
      <c r="E126" s="11"/>
      <c r="F126" s="10">
        <f t="shared" si="19"/>
        <v>0</v>
      </c>
      <c r="G126" s="9"/>
      <c r="H126" s="11"/>
      <c r="I126" s="10">
        <v>0</v>
      </c>
      <c r="J126" s="9"/>
      <c r="K126" s="10"/>
      <c r="L126" s="9"/>
      <c r="M126" s="10"/>
      <c r="N126" s="9"/>
      <c r="O126" s="11"/>
      <c r="P126" s="11"/>
      <c r="Q126" s="10" t="e">
        <f t="shared" si="18"/>
        <v>#DIV/0!</v>
      </c>
      <c r="R126" s="9"/>
      <c r="S126" s="11"/>
      <c r="T126" s="10"/>
      <c r="U126" s="9"/>
      <c r="V126" s="11"/>
      <c r="W126" s="11"/>
      <c r="X126" s="10"/>
      <c r="Y126" s="9"/>
      <c r="Z126" s="8"/>
      <c r="AA126" s="7" t="s">
        <v>10</v>
      </c>
    </row>
    <row r="127" spans="2:27">
      <c r="B127" s="12">
        <v>46133</v>
      </c>
      <c r="C127" s="9"/>
      <c r="D127" s="11"/>
      <c r="E127" s="11"/>
      <c r="F127" s="10">
        <f t="shared" si="19"/>
        <v>0</v>
      </c>
      <c r="G127" s="9"/>
      <c r="H127" s="11"/>
      <c r="I127" s="10">
        <v>0</v>
      </c>
      <c r="J127" s="9"/>
      <c r="K127" s="10"/>
      <c r="L127" s="9"/>
      <c r="M127" s="10"/>
      <c r="N127" s="9"/>
      <c r="O127" s="11"/>
      <c r="P127" s="11"/>
      <c r="Q127" s="10" t="e">
        <f t="shared" si="18"/>
        <v>#DIV/0!</v>
      </c>
      <c r="R127" s="9"/>
      <c r="S127" s="11"/>
      <c r="T127" s="10"/>
      <c r="U127" s="9"/>
      <c r="V127" s="11"/>
      <c r="W127" s="11"/>
      <c r="X127" s="10"/>
      <c r="Y127" s="9"/>
      <c r="Z127" s="8"/>
      <c r="AA127" s="7" t="s">
        <v>9</v>
      </c>
    </row>
    <row r="128" spans="2:27">
      <c r="B128" s="12">
        <v>46134</v>
      </c>
      <c r="C128" s="9"/>
      <c r="D128" s="11"/>
      <c r="E128" s="11"/>
      <c r="F128" s="10">
        <f t="shared" si="19"/>
        <v>0</v>
      </c>
      <c r="G128" s="9"/>
      <c r="H128" s="11"/>
      <c r="I128" s="10">
        <v>0</v>
      </c>
      <c r="J128" s="9"/>
      <c r="K128" s="10"/>
      <c r="L128" s="9"/>
      <c r="M128" s="10"/>
      <c r="N128" s="9"/>
      <c r="O128" s="11"/>
      <c r="P128" s="11"/>
      <c r="Q128" s="10" t="e">
        <f t="shared" si="18"/>
        <v>#DIV/0!</v>
      </c>
      <c r="R128" s="9"/>
      <c r="S128" s="11"/>
      <c r="T128" s="10"/>
      <c r="U128" s="9"/>
      <c r="V128" s="11"/>
      <c r="W128" s="11"/>
      <c r="X128" s="10"/>
      <c r="Y128" s="9"/>
      <c r="Z128" s="8"/>
      <c r="AA128" s="7" t="s">
        <v>8</v>
      </c>
    </row>
    <row r="129" spans="2:27">
      <c r="B129" s="12">
        <v>46135</v>
      </c>
      <c r="C129" s="9"/>
      <c r="D129" s="11"/>
      <c r="E129" s="11"/>
      <c r="F129" s="10">
        <f t="shared" si="19"/>
        <v>0</v>
      </c>
      <c r="G129" s="9"/>
      <c r="H129" s="11"/>
      <c r="I129" s="10">
        <f t="shared" ref="I129:I136" si="20">SUM(G129:H129)</f>
        <v>0</v>
      </c>
      <c r="J129" s="9"/>
      <c r="K129" s="10"/>
      <c r="L129" s="9"/>
      <c r="M129" s="10"/>
      <c r="N129" s="9"/>
      <c r="O129" s="11"/>
      <c r="P129" s="11"/>
      <c r="Q129" s="10" t="e">
        <f t="shared" si="18"/>
        <v>#DIV/0!</v>
      </c>
      <c r="R129" s="9"/>
      <c r="S129" s="11"/>
      <c r="T129" s="10"/>
      <c r="U129" s="9"/>
      <c r="V129" s="11"/>
      <c r="W129" s="11"/>
      <c r="X129" s="10"/>
      <c r="Y129" s="9"/>
      <c r="Z129" s="8"/>
      <c r="AA129" s="7" t="s">
        <v>7</v>
      </c>
    </row>
    <row r="130" spans="2:27">
      <c r="B130" s="12">
        <v>46136</v>
      </c>
      <c r="C130" s="9"/>
      <c r="D130" s="11"/>
      <c r="E130" s="11"/>
      <c r="F130" s="10">
        <f t="shared" si="19"/>
        <v>0</v>
      </c>
      <c r="G130" s="9"/>
      <c r="H130" s="11"/>
      <c r="I130" s="10">
        <f t="shared" si="20"/>
        <v>0</v>
      </c>
      <c r="J130" s="9"/>
      <c r="K130" s="10"/>
      <c r="L130" s="9"/>
      <c r="M130" s="10"/>
      <c r="N130" s="9"/>
      <c r="O130" s="11"/>
      <c r="P130" s="11"/>
      <c r="Q130" s="10" t="e">
        <f t="shared" si="18"/>
        <v>#DIV/0!</v>
      </c>
      <c r="R130" s="9"/>
      <c r="S130" s="11"/>
      <c r="T130" s="10"/>
      <c r="U130" s="9"/>
      <c r="V130" s="11"/>
      <c r="W130" s="11"/>
      <c r="X130" s="10"/>
      <c r="Y130" s="9"/>
      <c r="Z130" s="8"/>
      <c r="AA130" s="7" t="s">
        <v>6</v>
      </c>
    </row>
    <row r="131" spans="2:27">
      <c r="B131" s="12">
        <v>46137</v>
      </c>
      <c r="C131" s="9"/>
      <c r="D131" s="11"/>
      <c r="E131" s="11"/>
      <c r="F131" s="10">
        <f t="shared" si="19"/>
        <v>0</v>
      </c>
      <c r="G131" s="9"/>
      <c r="H131" s="11"/>
      <c r="I131" s="10">
        <f t="shared" si="20"/>
        <v>0</v>
      </c>
      <c r="J131" s="9"/>
      <c r="K131" s="10"/>
      <c r="L131" s="9"/>
      <c r="M131" s="10"/>
      <c r="N131" s="9"/>
      <c r="O131" s="11"/>
      <c r="P131" s="11"/>
      <c r="Q131" s="10" t="e">
        <f t="shared" si="18"/>
        <v>#DIV/0!</v>
      </c>
      <c r="R131" s="9"/>
      <c r="S131" s="11"/>
      <c r="T131" s="10"/>
      <c r="U131" s="9"/>
      <c r="V131" s="11"/>
      <c r="W131" s="11"/>
      <c r="X131" s="10"/>
      <c r="Y131" s="9"/>
      <c r="Z131" s="8"/>
      <c r="AA131" s="7" t="s">
        <v>5</v>
      </c>
    </row>
    <row r="132" spans="2:27">
      <c r="B132" s="12">
        <v>46138</v>
      </c>
      <c r="C132" s="9"/>
      <c r="D132" s="11"/>
      <c r="E132" s="11"/>
      <c r="F132" s="10">
        <f t="shared" si="19"/>
        <v>0</v>
      </c>
      <c r="G132" s="9"/>
      <c r="H132" s="11"/>
      <c r="I132" s="10">
        <f t="shared" si="20"/>
        <v>0</v>
      </c>
      <c r="J132" s="9"/>
      <c r="K132" s="10"/>
      <c r="L132" s="9"/>
      <c r="M132" s="10"/>
      <c r="N132" s="9"/>
      <c r="O132" s="11"/>
      <c r="P132" s="11"/>
      <c r="Q132" s="10" t="e">
        <f t="shared" si="18"/>
        <v>#DIV/0!</v>
      </c>
      <c r="R132" s="9"/>
      <c r="S132" s="11"/>
      <c r="T132" s="10"/>
      <c r="U132" s="9"/>
      <c r="V132" s="11"/>
      <c r="W132" s="11"/>
      <c r="X132" s="10"/>
      <c r="Y132" s="9"/>
      <c r="Z132" s="8"/>
      <c r="AA132" s="7" t="s">
        <v>4</v>
      </c>
    </row>
    <row r="133" spans="2:27">
      <c r="B133" s="12">
        <v>46139</v>
      </c>
      <c r="C133" s="9"/>
      <c r="D133" s="11"/>
      <c r="E133" s="11"/>
      <c r="F133" s="10">
        <f t="shared" si="19"/>
        <v>0</v>
      </c>
      <c r="G133" s="9"/>
      <c r="H133" s="11"/>
      <c r="I133" s="10">
        <f t="shared" si="20"/>
        <v>0</v>
      </c>
      <c r="J133" s="9"/>
      <c r="K133" s="10"/>
      <c r="L133" s="9"/>
      <c r="M133" s="10"/>
      <c r="N133" s="9"/>
      <c r="O133" s="11"/>
      <c r="P133" s="11"/>
      <c r="Q133" s="10" t="e">
        <f t="shared" si="18"/>
        <v>#DIV/0!</v>
      </c>
      <c r="R133" s="9"/>
      <c r="S133" s="11"/>
      <c r="T133" s="10"/>
      <c r="U133" s="9"/>
      <c r="V133" s="11"/>
      <c r="W133" s="11"/>
      <c r="X133" s="10"/>
      <c r="Y133" s="9"/>
      <c r="Z133" s="8"/>
      <c r="AA133" s="7" t="s">
        <v>3</v>
      </c>
    </row>
    <row r="134" spans="2:27">
      <c r="B134" s="12">
        <v>46140</v>
      </c>
      <c r="C134" s="9"/>
      <c r="D134" s="11"/>
      <c r="E134" s="11"/>
      <c r="F134" s="10">
        <f t="shared" si="19"/>
        <v>0</v>
      </c>
      <c r="G134" s="9"/>
      <c r="H134" s="11"/>
      <c r="I134" s="10">
        <f t="shared" si="20"/>
        <v>0</v>
      </c>
      <c r="J134" s="9"/>
      <c r="K134" s="10"/>
      <c r="L134" s="9"/>
      <c r="M134" s="10"/>
      <c r="N134" s="9"/>
      <c r="O134" s="11"/>
      <c r="P134" s="11"/>
      <c r="Q134" s="10" t="e">
        <f t="shared" si="18"/>
        <v>#DIV/0!</v>
      </c>
      <c r="R134" s="9"/>
      <c r="S134" s="11"/>
      <c r="T134" s="10"/>
      <c r="U134" s="9"/>
      <c r="V134" s="11"/>
      <c r="W134" s="11"/>
      <c r="X134" s="10"/>
      <c r="Y134" s="9"/>
      <c r="Z134" s="8"/>
      <c r="AA134" s="7" t="s">
        <v>2</v>
      </c>
    </row>
    <row r="135" spans="2:27">
      <c r="B135" s="12">
        <v>46141</v>
      </c>
      <c r="C135" s="9"/>
      <c r="D135" s="11"/>
      <c r="E135" s="11"/>
      <c r="F135" s="10">
        <f t="shared" si="19"/>
        <v>0</v>
      </c>
      <c r="G135" s="9"/>
      <c r="H135" s="11"/>
      <c r="I135" s="10">
        <f t="shared" si="20"/>
        <v>0</v>
      </c>
      <c r="J135" s="9"/>
      <c r="K135" s="10"/>
      <c r="L135" s="9"/>
      <c r="M135" s="10"/>
      <c r="N135" s="9"/>
      <c r="O135" s="11"/>
      <c r="P135" s="11"/>
      <c r="Q135" s="10" t="e">
        <f t="shared" si="18"/>
        <v>#DIV/0!</v>
      </c>
      <c r="R135" s="9"/>
      <c r="S135" s="11"/>
      <c r="T135" s="10"/>
      <c r="U135" s="9"/>
      <c r="V135" s="11"/>
      <c r="W135" s="11"/>
      <c r="X135" s="10"/>
      <c r="Y135" s="9"/>
      <c r="Z135" s="8"/>
      <c r="AA135" s="7" t="s">
        <v>1</v>
      </c>
    </row>
    <row r="136" spans="2:27" ht="17.25" thickBot="1">
      <c r="B136" s="6">
        <v>46142</v>
      </c>
      <c r="C136" s="3"/>
      <c r="D136" s="5"/>
      <c r="E136" s="5"/>
      <c r="F136" s="4">
        <f t="shared" si="19"/>
        <v>0</v>
      </c>
      <c r="G136" s="3"/>
      <c r="H136" s="5"/>
      <c r="I136" s="4">
        <f t="shared" si="20"/>
        <v>0</v>
      </c>
      <c r="J136" s="3"/>
      <c r="K136" s="4"/>
      <c r="L136" s="3"/>
      <c r="M136" s="4"/>
      <c r="N136" s="3"/>
      <c r="O136" s="5"/>
      <c r="P136" s="5"/>
      <c r="Q136" s="4" t="e">
        <f t="shared" si="18"/>
        <v>#DIV/0!</v>
      </c>
      <c r="R136" s="3"/>
      <c r="S136" s="5"/>
      <c r="T136" s="4"/>
      <c r="U136" s="3"/>
      <c r="V136" s="5"/>
      <c r="W136" s="5"/>
      <c r="X136" s="4"/>
      <c r="Y136" s="3"/>
      <c r="Z136" s="2"/>
      <c r="AA136" s="1" t="s">
        <v>0</v>
      </c>
    </row>
    <row r="137" spans="2:27" ht="17.25" thickBot="1"/>
    <row r="138" spans="2:27" ht="27" customHeight="1" thickBot="1">
      <c r="B138" s="194"/>
      <c r="C138" s="196" t="s">
        <v>68</v>
      </c>
      <c r="D138" s="197"/>
      <c r="E138" s="197"/>
      <c r="F138" s="198"/>
      <c r="G138" s="199" t="s">
        <v>67</v>
      </c>
      <c r="H138" s="200"/>
      <c r="I138" s="201"/>
      <c r="J138" s="196" t="s">
        <v>66</v>
      </c>
      <c r="K138" s="198"/>
      <c r="L138" s="202" t="s">
        <v>65</v>
      </c>
      <c r="M138" s="198"/>
      <c r="N138" s="203" t="s">
        <v>64</v>
      </c>
      <c r="O138" s="204"/>
      <c r="P138" s="204"/>
      <c r="Q138" s="205"/>
      <c r="R138" s="196" t="s">
        <v>63</v>
      </c>
      <c r="S138" s="197"/>
      <c r="T138" s="198"/>
      <c r="U138" s="196" t="s">
        <v>62</v>
      </c>
      <c r="V138" s="197"/>
      <c r="W138" s="197"/>
      <c r="X138" s="198"/>
      <c r="Y138" s="196" t="s">
        <v>61</v>
      </c>
      <c r="Z138" s="197"/>
      <c r="AA138" s="192" t="s">
        <v>49</v>
      </c>
    </row>
    <row r="139" spans="2:27" ht="27" customHeight="1" thickBot="1">
      <c r="B139" s="195"/>
      <c r="C139" s="25" t="s">
        <v>48</v>
      </c>
      <c r="D139" s="27" t="s">
        <v>47</v>
      </c>
      <c r="E139" s="27" t="s">
        <v>46</v>
      </c>
      <c r="F139" s="26" t="s">
        <v>45</v>
      </c>
      <c r="G139" s="25" t="s">
        <v>43</v>
      </c>
      <c r="H139" s="27" t="s">
        <v>42</v>
      </c>
      <c r="I139" s="26" t="s">
        <v>44</v>
      </c>
      <c r="J139" s="25" t="s">
        <v>43</v>
      </c>
      <c r="K139" s="26" t="s">
        <v>42</v>
      </c>
      <c r="L139" s="25" t="s">
        <v>43</v>
      </c>
      <c r="M139" s="26" t="s">
        <v>42</v>
      </c>
      <c r="N139" s="31" t="s">
        <v>41</v>
      </c>
      <c r="O139" s="30" t="s">
        <v>40</v>
      </c>
      <c r="P139" s="30" t="s">
        <v>39</v>
      </c>
      <c r="Q139" s="29" t="s">
        <v>38</v>
      </c>
      <c r="R139" s="108" t="s">
        <v>143</v>
      </c>
      <c r="S139" s="107" t="s">
        <v>144</v>
      </c>
      <c r="T139" s="26" t="s">
        <v>37</v>
      </c>
      <c r="U139" s="25" t="s">
        <v>36</v>
      </c>
      <c r="V139" s="28" t="s">
        <v>35</v>
      </c>
      <c r="W139" s="27" t="s">
        <v>34</v>
      </c>
      <c r="X139" s="26" t="s">
        <v>33</v>
      </c>
      <c r="Y139" s="25" t="s">
        <v>32</v>
      </c>
      <c r="Z139" s="24" t="s">
        <v>31</v>
      </c>
      <c r="AA139" s="193"/>
    </row>
    <row r="140" spans="2:27" ht="20.25" customHeight="1" thickBot="1">
      <c r="B140" s="23" t="s">
        <v>60</v>
      </c>
      <c r="C140" s="20">
        <f t="shared" ref="C140:I140" si="21">SUM(C141:C171)</f>
        <v>0</v>
      </c>
      <c r="D140" s="22">
        <f t="shared" si="21"/>
        <v>0</v>
      </c>
      <c r="E140" s="22">
        <f t="shared" si="21"/>
        <v>0</v>
      </c>
      <c r="F140" s="21">
        <f>SUM(F141:F171)</f>
        <v>0</v>
      </c>
      <c r="G140" s="20">
        <f t="shared" si="21"/>
        <v>0</v>
      </c>
      <c r="H140" s="22">
        <f t="shared" si="21"/>
        <v>0</v>
      </c>
      <c r="I140" s="21">
        <f t="shared" si="21"/>
        <v>0</v>
      </c>
      <c r="J140" s="20">
        <f>IFERROR(AVERAGE(J141:J171),0)</f>
        <v>0</v>
      </c>
      <c r="K140" s="21">
        <f>IFERROR(AVERAGE(K141:K171),0)</f>
        <v>0</v>
      </c>
      <c r="L140" s="20">
        <f>IFERROR(AVERAGE(L141:L171),0)</f>
        <v>0</v>
      </c>
      <c r="M140" s="21">
        <f>IFERROR(AVERAGE(M141:M171),0)</f>
        <v>0</v>
      </c>
      <c r="N140" s="20">
        <f>SUM(N141:N171)</f>
        <v>0</v>
      </c>
      <c r="O140" s="22">
        <f>SUM(O141:O171)</f>
        <v>0</v>
      </c>
      <c r="P140" s="22">
        <f>SUM(P141:P171)</f>
        <v>0</v>
      </c>
      <c r="Q140" s="21">
        <f>IFERROR(O140/N140*100,0)</f>
        <v>0</v>
      </c>
      <c r="R140" s="20">
        <f t="shared" ref="R140:Z140" si="22">SUM(R141:R171)</f>
        <v>0</v>
      </c>
      <c r="S140" s="22">
        <f t="shared" si="22"/>
        <v>0</v>
      </c>
      <c r="T140" s="21">
        <f t="shared" si="22"/>
        <v>0</v>
      </c>
      <c r="U140" s="20">
        <f t="shared" si="22"/>
        <v>0</v>
      </c>
      <c r="V140" s="22">
        <f t="shared" si="22"/>
        <v>0</v>
      </c>
      <c r="W140" s="22">
        <f t="shared" si="22"/>
        <v>0</v>
      </c>
      <c r="X140" s="21">
        <f t="shared" si="22"/>
        <v>0</v>
      </c>
      <c r="Y140" s="20">
        <f t="shared" si="22"/>
        <v>0</v>
      </c>
      <c r="Z140" s="19">
        <f t="shared" si="22"/>
        <v>0</v>
      </c>
      <c r="AA140" s="18"/>
    </row>
    <row r="141" spans="2:27">
      <c r="B141" s="32">
        <v>46143</v>
      </c>
      <c r="C141" s="15"/>
      <c r="D141" s="17"/>
      <c r="E141" s="17"/>
      <c r="F141" s="16">
        <f t="shared" ref="F141:F158" si="23">SUM(C141:E141)</f>
        <v>0</v>
      </c>
      <c r="G141" s="15"/>
      <c r="H141" s="17"/>
      <c r="I141" s="16">
        <f t="shared" ref="I141:I158" si="24">SUM(G141:H141)</f>
        <v>0</v>
      </c>
      <c r="J141" s="15"/>
      <c r="K141" s="16"/>
      <c r="L141" s="15"/>
      <c r="M141" s="16"/>
      <c r="N141" s="15"/>
      <c r="O141" s="17"/>
      <c r="P141" s="17"/>
      <c r="Q141" s="16" t="e">
        <f t="shared" ref="Q141:Q153" si="25">O141/N141*100</f>
        <v>#DIV/0!</v>
      </c>
      <c r="R141" s="15"/>
      <c r="S141" s="17"/>
      <c r="T141" s="16"/>
      <c r="U141" s="15"/>
      <c r="V141" s="17"/>
      <c r="W141" s="17"/>
      <c r="X141" s="16"/>
      <c r="Y141" s="15"/>
      <c r="Z141" s="14"/>
      <c r="AA141" s="13" t="s">
        <v>29</v>
      </c>
    </row>
    <row r="142" spans="2:27">
      <c r="B142" s="12">
        <v>46144</v>
      </c>
      <c r="C142" s="9"/>
      <c r="D142" s="11"/>
      <c r="E142" s="11"/>
      <c r="F142" s="10">
        <f t="shared" si="23"/>
        <v>0</v>
      </c>
      <c r="G142" s="9"/>
      <c r="H142" s="11"/>
      <c r="I142" s="10">
        <f t="shared" si="24"/>
        <v>0</v>
      </c>
      <c r="J142" s="9"/>
      <c r="K142" s="10"/>
      <c r="L142" s="9"/>
      <c r="M142" s="10"/>
      <c r="N142" s="9"/>
      <c r="O142" s="11"/>
      <c r="P142" s="11"/>
      <c r="Q142" s="16" t="e">
        <f t="shared" si="25"/>
        <v>#DIV/0!</v>
      </c>
      <c r="R142" s="9"/>
      <c r="S142" s="11"/>
      <c r="T142" s="10"/>
      <c r="U142" s="9"/>
      <c r="V142" s="11"/>
      <c r="W142" s="11"/>
      <c r="X142" s="10"/>
      <c r="Y142" s="9"/>
      <c r="Z142" s="8"/>
      <c r="AA142" s="7" t="s">
        <v>28</v>
      </c>
    </row>
    <row r="143" spans="2:27">
      <c r="B143" s="12">
        <v>46145</v>
      </c>
      <c r="C143" s="9"/>
      <c r="D143" s="11"/>
      <c r="E143" s="11"/>
      <c r="F143" s="10">
        <f t="shared" si="23"/>
        <v>0</v>
      </c>
      <c r="G143" s="9"/>
      <c r="H143" s="11"/>
      <c r="I143" s="10">
        <f t="shared" si="24"/>
        <v>0</v>
      </c>
      <c r="J143" s="9"/>
      <c r="K143" s="10"/>
      <c r="L143" s="9"/>
      <c r="M143" s="10"/>
      <c r="N143" s="9"/>
      <c r="O143" s="11"/>
      <c r="P143" s="11"/>
      <c r="Q143" s="16" t="e">
        <f t="shared" si="25"/>
        <v>#DIV/0!</v>
      </c>
      <c r="R143" s="9"/>
      <c r="S143" s="11"/>
      <c r="T143" s="10"/>
      <c r="U143" s="9"/>
      <c r="V143" s="11"/>
      <c r="W143" s="11"/>
      <c r="X143" s="10"/>
      <c r="Y143" s="9"/>
      <c r="Z143" s="8"/>
      <c r="AA143" s="7" t="s">
        <v>27</v>
      </c>
    </row>
    <row r="144" spans="2:27">
      <c r="B144" s="12">
        <v>46146</v>
      </c>
      <c r="C144" s="9"/>
      <c r="D144" s="11"/>
      <c r="E144" s="11"/>
      <c r="F144" s="10">
        <f t="shared" si="23"/>
        <v>0</v>
      </c>
      <c r="G144" s="9"/>
      <c r="H144" s="11"/>
      <c r="I144" s="10">
        <f t="shared" si="24"/>
        <v>0</v>
      </c>
      <c r="J144" s="9"/>
      <c r="K144" s="10"/>
      <c r="L144" s="9"/>
      <c r="M144" s="10"/>
      <c r="N144" s="9"/>
      <c r="O144" s="11"/>
      <c r="P144" s="11"/>
      <c r="Q144" s="16" t="e">
        <f t="shared" si="25"/>
        <v>#DIV/0!</v>
      </c>
      <c r="R144" s="9"/>
      <c r="S144" s="11"/>
      <c r="T144" s="10"/>
      <c r="U144" s="9"/>
      <c r="V144" s="11"/>
      <c r="W144" s="11"/>
      <c r="X144" s="10"/>
      <c r="Y144" s="9"/>
      <c r="Z144" s="8"/>
      <c r="AA144" s="7" t="s">
        <v>26</v>
      </c>
    </row>
    <row r="145" spans="2:27">
      <c r="B145" s="12">
        <v>46147</v>
      </c>
      <c r="C145" s="9"/>
      <c r="D145" s="11"/>
      <c r="E145" s="11"/>
      <c r="F145" s="10">
        <f t="shared" si="23"/>
        <v>0</v>
      </c>
      <c r="G145" s="9"/>
      <c r="H145" s="11"/>
      <c r="I145" s="10">
        <f t="shared" si="24"/>
        <v>0</v>
      </c>
      <c r="J145" s="9"/>
      <c r="K145" s="10"/>
      <c r="L145" s="9"/>
      <c r="M145" s="10"/>
      <c r="N145" s="9"/>
      <c r="O145" s="11"/>
      <c r="P145" s="11"/>
      <c r="Q145" s="10" t="e">
        <f t="shared" si="25"/>
        <v>#DIV/0!</v>
      </c>
      <c r="R145" s="9"/>
      <c r="S145" s="11"/>
      <c r="T145" s="10"/>
      <c r="U145" s="9"/>
      <c r="V145" s="11"/>
      <c r="W145" s="11"/>
      <c r="X145" s="10"/>
      <c r="Y145" s="9"/>
      <c r="Z145" s="8"/>
      <c r="AA145" s="7" t="s">
        <v>25</v>
      </c>
    </row>
    <row r="146" spans="2:27">
      <c r="B146" s="12">
        <v>46148</v>
      </c>
      <c r="C146" s="9"/>
      <c r="D146" s="11"/>
      <c r="E146" s="11"/>
      <c r="F146" s="10">
        <f t="shared" si="23"/>
        <v>0</v>
      </c>
      <c r="G146" s="9"/>
      <c r="H146" s="11"/>
      <c r="I146" s="10">
        <f t="shared" si="24"/>
        <v>0</v>
      </c>
      <c r="J146" s="9"/>
      <c r="K146" s="10"/>
      <c r="L146" s="9"/>
      <c r="M146" s="10"/>
      <c r="N146" s="9"/>
      <c r="O146" s="11"/>
      <c r="P146" s="11"/>
      <c r="Q146" s="10" t="e">
        <f t="shared" si="25"/>
        <v>#DIV/0!</v>
      </c>
      <c r="R146" s="9"/>
      <c r="S146" s="11"/>
      <c r="T146" s="10"/>
      <c r="U146" s="9"/>
      <c r="V146" s="11"/>
      <c r="W146" s="11"/>
      <c r="X146" s="10"/>
      <c r="Y146" s="9"/>
      <c r="Z146" s="8"/>
      <c r="AA146" s="7" t="s">
        <v>24</v>
      </c>
    </row>
    <row r="147" spans="2:27">
      <c r="B147" s="12">
        <v>46149</v>
      </c>
      <c r="C147" s="9"/>
      <c r="D147" s="11"/>
      <c r="E147" s="11"/>
      <c r="F147" s="10">
        <f t="shared" si="23"/>
        <v>0</v>
      </c>
      <c r="G147" s="9"/>
      <c r="H147" s="11"/>
      <c r="I147" s="10">
        <f t="shared" si="24"/>
        <v>0</v>
      </c>
      <c r="J147" s="9"/>
      <c r="K147" s="10"/>
      <c r="L147" s="9"/>
      <c r="M147" s="10"/>
      <c r="N147" s="9"/>
      <c r="O147" s="11"/>
      <c r="P147" s="11"/>
      <c r="Q147" s="10" t="e">
        <f t="shared" si="25"/>
        <v>#DIV/0!</v>
      </c>
      <c r="R147" s="9"/>
      <c r="S147" s="11"/>
      <c r="T147" s="10"/>
      <c r="U147" s="9"/>
      <c r="V147" s="11"/>
      <c r="W147" s="11"/>
      <c r="X147" s="10"/>
      <c r="Y147" s="9"/>
      <c r="Z147" s="8"/>
      <c r="AA147" s="7" t="s">
        <v>23</v>
      </c>
    </row>
    <row r="148" spans="2:27">
      <c r="B148" s="12">
        <v>46150</v>
      </c>
      <c r="C148" s="9"/>
      <c r="D148" s="11"/>
      <c r="E148" s="11"/>
      <c r="F148" s="10">
        <f t="shared" si="23"/>
        <v>0</v>
      </c>
      <c r="G148" s="9"/>
      <c r="H148" s="11"/>
      <c r="I148" s="10">
        <f t="shared" si="24"/>
        <v>0</v>
      </c>
      <c r="J148" s="9"/>
      <c r="K148" s="10"/>
      <c r="L148" s="9"/>
      <c r="M148" s="10"/>
      <c r="N148" s="9"/>
      <c r="O148" s="11"/>
      <c r="P148" s="11"/>
      <c r="Q148" s="10" t="e">
        <f t="shared" si="25"/>
        <v>#DIV/0!</v>
      </c>
      <c r="R148" s="9"/>
      <c r="S148" s="11"/>
      <c r="T148" s="10"/>
      <c r="U148" s="9"/>
      <c r="V148" s="11"/>
      <c r="W148" s="11"/>
      <c r="X148" s="10"/>
      <c r="Y148" s="9"/>
      <c r="Z148" s="8"/>
      <c r="AA148" s="7" t="s">
        <v>22</v>
      </c>
    </row>
    <row r="149" spans="2:27">
      <c r="B149" s="12">
        <v>46151</v>
      </c>
      <c r="C149" s="9"/>
      <c r="D149" s="11"/>
      <c r="E149" s="11"/>
      <c r="F149" s="10">
        <f t="shared" si="23"/>
        <v>0</v>
      </c>
      <c r="G149" s="9"/>
      <c r="H149" s="11"/>
      <c r="I149" s="10">
        <f t="shared" si="24"/>
        <v>0</v>
      </c>
      <c r="J149" s="9"/>
      <c r="K149" s="10"/>
      <c r="L149" s="9"/>
      <c r="M149" s="10"/>
      <c r="N149" s="9"/>
      <c r="O149" s="11"/>
      <c r="P149" s="11"/>
      <c r="Q149" s="10" t="e">
        <f t="shared" si="25"/>
        <v>#DIV/0!</v>
      </c>
      <c r="R149" s="9"/>
      <c r="S149" s="11"/>
      <c r="T149" s="10"/>
      <c r="U149" s="9"/>
      <c r="V149" s="11"/>
      <c r="W149" s="11"/>
      <c r="X149" s="10"/>
      <c r="Y149" s="9"/>
      <c r="Z149" s="8"/>
      <c r="AA149" s="7" t="s">
        <v>21</v>
      </c>
    </row>
    <row r="150" spans="2:27">
      <c r="B150" s="12">
        <v>46152</v>
      </c>
      <c r="C150" s="9"/>
      <c r="D150" s="11"/>
      <c r="E150" s="11"/>
      <c r="F150" s="10">
        <f t="shared" si="23"/>
        <v>0</v>
      </c>
      <c r="G150" s="9"/>
      <c r="H150" s="11"/>
      <c r="I150" s="10">
        <f t="shared" si="24"/>
        <v>0</v>
      </c>
      <c r="J150" s="9"/>
      <c r="K150" s="10"/>
      <c r="L150" s="9"/>
      <c r="M150" s="10"/>
      <c r="N150" s="9"/>
      <c r="O150" s="11"/>
      <c r="P150" s="11"/>
      <c r="Q150" s="10" t="e">
        <f t="shared" si="25"/>
        <v>#DIV/0!</v>
      </c>
      <c r="R150" s="9"/>
      <c r="S150" s="11"/>
      <c r="T150" s="10"/>
      <c r="U150" s="9"/>
      <c r="V150" s="11"/>
      <c r="W150" s="11"/>
      <c r="X150" s="10"/>
      <c r="Y150" s="9"/>
      <c r="Z150" s="8"/>
      <c r="AA150" s="7" t="s">
        <v>20</v>
      </c>
    </row>
    <row r="151" spans="2:27">
      <c r="B151" s="12">
        <v>46153</v>
      </c>
      <c r="C151" s="9"/>
      <c r="D151" s="11"/>
      <c r="E151" s="11"/>
      <c r="F151" s="10">
        <f t="shared" si="23"/>
        <v>0</v>
      </c>
      <c r="G151" s="9"/>
      <c r="H151" s="11"/>
      <c r="I151" s="10">
        <f t="shared" si="24"/>
        <v>0</v>
      </c>
      <c r="J151" s="9"/>
      <c r="K151" s="10"/>
      <c r="L151" s="9"/>
      <c r="M151" s="10"/>
      <c r="N151" s="9"/>
      <c r="O151" s="11"/>
      <c r="P151" s="11"/>
      <c r="Q151" s="10" t="e">
        <f t="shared" si="25"/>
        <v>#DIV/0!</v>
      </c>
      <c r="R151" s="9"/>
      <c r="S151" s="11"/>
      <c r="T151" s="10"/>
      <c r="U151" s="9"/>
      <c r="V151" s="11"/>
      <c r="W151" s="11"/>
      <c r="X151" s="10"/>
      <c r="Y151" s="9"/>
      <c r="Z151" s="8"/>
      <c r="AA151" s="7" t="s">
        <v>19</v>
      </c>
    </row>
    <row r="152" spans="2:27">
      <c r="B152" s="12">
        <v>46154</v>
      </c>
      <c r="C152" s="9"/>
      <c r="D152" s="11"/>
      <c r="E152" s="11"/>
      <c r="F152" s="10">
        <f t="shared" si="23"/>
        <v>0</v>
      </c>
      <c r="G152" s="9"/>
      <c r="H152" s="11"/>
      <c r="I152" s="10">
        <f t="shared" si="24"/>
        <v>0</v>
      </c>
      <c r="J152" s="9"/>
      <c r="K152" s="10"/>
      <c r="L152" s="9"/>
      <c r="M152" s="10"/>
      <c r="N152" s="9"/>
      <c r="O152" s="11"/>
      <c r="P152" s="11"/>
      <c r="Q152" s="10" t="e">
        <f t="shared" si="25"/>
        <v>#DIV/0!</v>
      </c>
      <c r="R152" s="9"/>
      <c r="S152" s="11"/>
      <c r="T152" s="10"/>
      <c r="U152" s="9"/>
      <c r="V152" s="11"/>
      <c r="W152" s="11"/>
      <c r="X152" s="10"/>
      <c r="Y152" s="9"/>
      <c r="Z152" s="8"/>
      <c r="AA152" s="7" t="s">
        <v>18</v>
      </c>
    </row>
    <row r="153" spans="2:27">
      <c r="B153" s="12">
        <v>46155</v>
      </c>
      <c r="C153" s="9"/>
      <c r="D153" s="11"/>
      <c r="E153" s="11"/>
      <c r="F153" s="10">
        <f t="shared" si="23"/>
        <v>0</v>
      </c>
      <c r="G153" s="9"/>
      <c r="H153" s="11"/>
      <c r="I153" s="10">
        <f t="shared" si="24"/>
        <v>0</v>
      </c>
      <c r="J153" s="9"/>
      <c r="K153" s="10"/>
      <c r="L153" s="9"/>
      <c r="M153" s="10"/>
      <c r="N153" s="9"/>
      <c r="O153" s="11"/>
      <c r="P153" s="11"/>
      <c r="Q153" s="10" t="e">
        <f t="shared" si="25"/>
        <v>#DIV/0!</v>
      </c>
      <c r="R153" s="9"/>
      <c r="S153" s="11"/>
      <c r="T153" s="10"/>
      <c r="U153" s="9"/>
      <c r="V153" s="11"/>
      <c r="W153" s="11"/>
      <c r="X153" s="10"/>
      <c r="Y153" s="9"/>
      <c r="Z153" s="8"/>
      <c r="AA153" s="7" t="s">
        <v>17</v>
      </c>
    </row>
    <row r="154" spans="2:27">
      <c r="B154" s="12">
        <v>46156</v>
      </c>
      <c r="C154" s="9"/>
      <c r="D154" s="11"/>
      <c r="E154" s="11"/>
      <c r="F154" s="10">
        <f t="shared" si="23"/>
        <v>0</v>
      </c>
      <c r="G154" s="9"/>
      <c r="H154" s="11"/>
      <c r="I154" s="10">
        <f t="shared" si="24"/>
        <v>0</v>
      </c>
      <c r="J154" s="9"/>
      <c r="K154" s="10"/>
      <c r="L154" s="9"/>
      <c r="M154" s="10"/>
      <c r="N154" s="9"/>
      <c r="O154" s="11"/>
      <c r="P154" s="11"/>
      <c r="Q154" s="10" t="e">
        <f>O154/N154*100</f>
        <v>#DIV/0!</v>
      </c>
      <c r="R154" s="9"/>
      <c r="S154" s="11"/>
      <c r="T154" s="10"/>
      <c r="U154" s="9"/>
      <c r="V154" s="11"/>
      <c r="W154" s="11"/>
      <c r="X154" s="10"/>
      <c r="Y154" s="9"/>
      <c r="Z154" s="8"/>
      <c r="AA154" s="7" t="s">
        <v>16</v>
      </c>
    </row>
    <row r="155" spans="2:27">
      <c r="B155" s="12">
        <v>46157</v>
      </c>
      <c r="C155" s="9"/>
      <c r="D155" s="11"/>
      <c r="E155" s="11"/>
      <c r="F155" s="10">
        <f t="shared" si="23"/>
        <v>0</v>
      </c>
      <c r="G155" s="9"/>
      <c r="H155" s="11"/>
      <c r="I155" s="10">
        <f t="shared" si="24"/>
        <v>0</v>
      </c>
      <c r="J155" s="9"/>
      <c r="K155" s="10"/>
      <c r="L155" s="9"/>
      <c r="M155" s="10"/>
      <c r="N155" s="9"/>
      <c r="O155" s="11"/>
      <c r="P155" s="11"/>
      <c r="Q155" s="10" t="e">
        <f>O155/N155*100</f>
        <v>#DIV/0!</v>
      </c>
      <c r="R155" s="9"/>
      <c r="S155" s="11"/>
      <c r="T155" s="10"/>
      <c r="U155" s="9"/>
      <c r="V155" s="11"/>
      <c r="W155" s="11"/>
      <c r="X155" s="10"/>
      <c r="Y155" s="9"/>
      <c r="Z155" s="8"/>
      <c r="AA155" s="7" t="s">
        <v>15</v>
      </c>
    </row>
    <row r="156" spans="2:27">
      <c r="B156" s="12">
        <v>46158</v>
      </c>
      <c r="C156" s="9"/>
      <c r="D156" s="11"/>
      <c r="E156" s="11"/>
      <c r="F156" s="10">
        <f t="shared" si="23"/>
        <v>0</v>
      </c>
      <c r="G156" s="9"/>
      <c r="H156" s="11"/>
      <c r="I156" s="10">
        <f t="shared" si="24"/>
        <v>0</v>
      </c>
      <c r="J156" s="9"/>
      <c r="K156" s="10"/>
      <c r="L156" s="9"/>
      <c r="M156" s="10"/>
      <c r="N156" s="9"/>
      <c r="O156" s="11"/>
      <c r="P156" s="11"/>
      <c r="Q156" s="10" t="e">
        <f>O156/N156*100</f>
        <v>#DIV/0!</v>
      </c>
      <c r="R156" s="9"/>
      <c r="S156" s="11"/>
      <c r="T156" s="10"/>
      <c r="U156" s="9"/>
      <c r="V156" s="11"/>
      <c r="W156" s="11"/>
      <c r="X156" s="10"/>
      <c r="Y156" s="9"/>
      <c r="Z156" s="8"/>
      <c r="AA156" s="7" t="s">
        <v>14</v>
      </c>
    </row>
    <row r="157" spans="2:27">
      <c r="B157" s="12">
        <v>46159</v>
      </c>
      <c r="C157" s="9"/>
      <c r="D157" s="11"/>
      <c r="E157" s="11"/>
      <c r="F157" s="10">
        <f t="shared" si="23"/>
        <v>0</v>
      </c>
      <c r="G157" s="9"/>
      <c r="H157" s="11"/>
      <c r="I157" s="10">
        <f t="shared" si="24"/>
        <v>0</v>
      </c>
      <c r="J157" s="9"/>
      <c r="K157" s="10"/>
      <c r="L157" s="9"/>
      <c r="M157" s="10"/>
      <c r="N157" s="9"/>
      <c r="O157" s="11"/>
      <c r="P157" s="11"/>
      <c r="Q157" s="10" t="e">
        <f>O157/N157*100</f>
        <v>#DIV/0!</v>
      </c>
      <c r="R157" s="9"/>
      <c r="S157" s="11"/>
      <c r="T157" s="10"/>
      <c r="U157" s="9"/>
      <c r="V157" s="11"/>
      <c r="W157" s="11"/>
      <c r="X157" s="10"/>
      <c r="Y157" s="9"/>
      <c r="Z157" s="8"/>
      <c r="AA157" s="7" t="s">
        <v>13</v>
      </c>
    </row>
    <row r="158" spans="2:27">
      <c r="B158" s="12">
        <v>46160</v>
      </c>
      <c r="C158" s="9"/>
      <c r="D158" s="11"/>
      <c r="E158" s="11"/>
      <c r="F158" s="10">
        <f t="shared" si="23"/>
        <v>0</v>
      </c>
      <c r="G158" s="9"/>
      <c r="H158" s="11"/>
      <c r="I158" s="10">
        <f t="shared" si="24"/>
        <v>0</v>
      </c>
      <c r="J158" s="9"/>
      <c r="K158" s="10"/>
      <c r="L158" s="9"/>
      <c r="M158" s="10"/>
      <c r="N158" s="9"/>
      <c r="O158" s="11"/>
      <c r="P158" s="11"/>
      <c r="Q158" s="10" t="e">
        <f>O158/N158*100</f>
        <v>#DIV/0!</v>
      </c>
      <c r="R158" s="9"/>
      <c r="S158" s="11"/>
      <c r="T158" s="10"/>
      <c r="U158" s="9"/>
      <c r="V158" s="11"/>
      <c r="W158" s="11"/>
      <c r="X158" s="10"/>
      <c r="Y158" s="9"/>
      <c r="Z158" s="8"/>
      <c r="AA158" s="7" t="s">
        <v>12</v>
      </c>
    </row>
    <row r="159" spans="2:27">
      <c r="B159" s="12">
        <v>46161</v>
      </c>
      <c r="C159" s="9"/>
      <c r="D159" s="11"/>
      <c r="E159" s="11"/>
      <c r="F159" s="10">
        <f t="shared" ref="F159:F171" si="26">SUM(C159:E159)</f>
        <v>0</v>
      </c>
      <c r="G159" s="9"/>
      <c r="H159" s="11"/>
      <c r="I159" s="10">
        <f t="shared" ref="I159:I171" si="27">SUM(G159:H159)</f>
        <v>0</v>
      </c>
      <c r="J159" s="9"/>
      <c r="K159" s="10"/>
      <c r="L159" s="9"/>
      <c r="M159" s="10"/>
      <c r="N159" s="9"/>
      <c r="O159" s="11"/>
      <c r="P159" s="11"/>
      <c r="Q159" s="10" t="e">
        <f t="shared" ref="Q159:Q171" si="28">O159/N159*100</f>
        <v>#DIV/0!</v>
      </c>
      <c r="R159" s="9"/>
      <c r="S159" s="11"/>
      <c r="T159" s="10"/>
      <c r="U159" s="9"/>
      <c r="V159" s="11"/>
      <c r="W159" s="11"/>
      <c r="X159" s="10"/>
      <c r="Y159" s="9"/>
      <c r="Z159" s="8"/>
      <c r="AA159" s="7" t="s">
        <v>11</v>
      </c>
    </row>
    <row r="160" spans="2:27">
      <c r="B160" s="12">
        <v>46162</v>
      </c>
      <c r="C160" s="9"/>
      <c r="D160" s="11"/>
      <c r="E160" s="11"/>
      <c r="F160" s="10">
        <f t="shared" si="26"/>
        <v>0</v>
      </c>
      <c r="G160" s="9"/>
      <c r="H160" s="11"/>
      <c r="I160" s="10">
        <f t="shared" si="27"/>
        <v>0</v>
      </c>
      <c r="J160" s="9"/>
      <c r="K160" s="10"/>
      <c r="L160" s="9"/>
      <c r="M160" s="10"/>
      <c r="N160" s="9"/>
      <c r="O160" s="11"/>
      <c r="P160" s="11"/>
      <c r="Q160" s="10" t="e">
        <f t="shared" si="28"/>
        <v>#DIV/0!</v>
      </c>
      <c r="R160" s="9"/>
      <c r="S160" s="11"/>
      <c r="T160" s="10"/>
      <c r="U160" s="9"/>
      <c r="V160" s="11"/>
      <c r="W160" s="11"/>
      <c r="X160" s="10"/>
      <c r="Y160" s="9"/>
      <c r="Z160" s="8"/>
      <c r="AA160" s="7" t="s">
        <v>10</v>
      </c>
    </row>
    <row r="161" spans="2:28">
      <c r="B161" s="12">
        <v>46163</v>
      </c>
      <c r="C161" s="9"/>
      <c r="D161" s="11"/>
      <c r="E161" s="11"/>
      <c r="F161" s="10">
        <f t="shared" si="26"/>
        <v>0</v>
      </c>
      <c r="G161" s="9"/>
      <c r="H161" s="11"/>
      <c r="I161" s="10">
        <f t="shared" si="27"/>
        <v>0</v>
      </c>
      <c r="J161" s="9"/>
      <c r="K161" s="10"/>
      <c r="L161" s="9"/>
      <c r="M161" s="10"/>
      <c r="N161" s="9"/>
      <c r="O161" s="11"/>
      <c r="P161" s="11"/>
      <c r="Q161" s="10" t="e">
        <f t="shared" si="28"/>
        <v>#DIV/0!</v>
      </c>
      <c r="R161" s="9"/>
      <c r="S161" s="11"/>
      <c r="T161" s="10"/>
      <c r="U161" s="9"/>
      <c r="V161" s="11"/>
      <c r="W161" s="11"/>
      <c r="X161" s="10"/>
      <c r="Y161" s="9"/>
      <c r="Z161" s="8"/>
      <c r="AA161" s="7" t="s">
        <v>9</v>
      </c>
    </row>
    <row r="162" spans="2:28">
      <c r="B162" s="12">
        <v>46164</v>
      </c>
      <c r="C162" s="9"/>
      <c r="D162" s="11"/>
      <c r="E162" s="11"/>
      <c r="F162" s="10">
        <f t="shared" si="26"/>
        <v>0</v>
      </c>
      <c r="G162" s="9"/>
      <c r="H162" s="11"/>
      <c r="I162" s="10">
        <f>SUM(G162:H162)</f>
        <v>0</v>
      </c>
      <c r="J162" s="9"/>
      <c r="K162" s="10"/>
      <c r="L162" s="9"/>
      <c r="M162" s="10"/>
      <c r="N162" s="9"/>
      <c r="O162" s="11"/>
      <c r="P162" s="11"/>
      <c r="Q162" s="10" t="e">
        <f t="shared" si="28"/>
        <v>#DIV/0!</v>
      </c>
      <c r="R162" s="9"/>
      <c r="S162" s="11"/>
      <c r="T162" s="10"/>
      <c r="U162" s="9"/>
      <c r="V162" s="11"/>
      <c r="W162" s="11"/>
      <c r="X162" s="10"/>
      <c r="Y162" s="9"/>
      <c r="Z162" s="8"/>
      <c r="AA162" s="7" t="s">
        <v>8</v>
      </c>
    </row>
    <row r="163" spans="2:28">
      <c r="B163" s="12">
        <v>46165</v>
      </c>
      <c r="C163" s="9"/>
      <c r="D163" s="11"/>
      <c r="E163" s="11"/>
      <c r="F163" s="10">
        <f t="shared" si="26"/>
        <v>0</v>
      </c>
      <c r="G163" s="9"/>
      <c r="H163" s="11"/>
      <c r="I163" s="10">
        <f t="shared" si="27"/>
        <v>0</v>
      </c>
      <c r="J163" s="9"/>
      <c r="K163" s="10"/>
      <c r="L163" s="9"/>
      <c r="M163" s="10"/>
      <c r="N163" s="9"/>
      <c r="O163" s="11"/>
      <c r="P163" s="11"/>
      <c r="Q163" s="10" t="e">
        <f t="shared" si="28"/>
        <v>#DIV/0!</v>
      </c>
      <c r="R163" s="9"/>
      <c r="S163" s="11"/>
      <c r="T163" s="10"/>
      <c r="U163" s="9"/>
      <c r="V163" s="11"/>
      <c r="W163" s="11"/>
      <c r="X163" s="10"/>
      <c r="Y163" s="9"/>
      <c r="Z163" s="8"/>
      <c r="AA163" s="7" t="s">
        <v>7</v>
      </c>
    </row>
    <row r="164" spans="2:28">
      <c r="B164" s="12">
        <v>46166</v>
      </c>
      <c r="C164" s="9"/>
      <c r="D164" s="11"/>
      <c r="E164" s="11"/>
      <c r="F164" s="10">
        <f t="shared" si="26"/>
        <v>0</v>
      </c>
      <c r="G164" s="9"/>
      <c r="H164" s="11"/>
      <c r="I164" s="10">
        <f t="shared" si="27"/>
        <v>0</v>
      </c>
      <c r="J164" s="9"/>
      <c r="K164" s="10"/>
      <c r="L164" s="9"/>
      <c r="M164" s="10"/>
      <c r="N164" s="9"/>
      <c r="O164" s="11"/>
      <c r="P164" s="11"/>
      <c r="Q164" s="10" t="e">
        <f t="shared" si="28"/>
        <v>#DIV/0!</v>
      </c>
      <c r="R164" s="9"/>
      <c r="S164" s="11"/>
      <c r="T164" s="10"/>
      <c r="U164" s="9"/>
      <c r="V164" s="11"/>
      <c r="W164" s="11"/>
      <c r="X164" s="10"/>
      <c r="Y164" s="9"/>
      <c r="Z164" s="8"/>
      <c r="AA164" s="7" t="s">
        <v>6</v>
      </c>
    </row>
    <row r="165" spans="2:28">
      <c r="B165" s="12">
        <v>46167</v>
      </c>
      <c r="C165" s="9"/>
      <c r="D165" s="11"/>
      <c r="E165" s="11"/>
      <c r="F165" s="10">
        <f t="shared" si="26"/>
        <v>0</v>
      </c>
      <c r="G165" s="9"/>
      <c r="H165" s="11"/>
      <c r="I165" s="10">
        <f t="shared" si="27"/>
        <v>0</v>
      </c>
      <c r="J165" s="9"/>
      <c r="K165" s="10"/>
      <c r="L165" s="9"/>
      <c r="M165" s="10"/>
      <c r="N165" s="9"/>
      <c r="O165" s="11"/>
      <c r="P165" s="11"/>
      <c r="Q165" s="10" t="e">
        <f t="shared" si="28"/>
        <v>#DIV/0!</v>
      </c>
      <c r="R165" s="9"/>
      <c r="S165" s="11"/>
      <c r="T165" s="10"/>
      <c r="U165" s="9"/>
      <c r="V165" s="11"/>
      <c r="W165" s="11"/>
      <c r="X165" s="10"/>
      <c r="Y165" s="9"/>
      <c r="Z165" s="8"/>
      <c r="AA165" s="7" t="s">
        <v>5</v>
      </c>
    </row>
    <row r="166" spans="2:28">
      <c r="B166" s="12">
        <v>46168</v>
      </c>
      <c r="C166" s="9"/>
      <c r="D166" s="11"/>
      <c r="E166" s="11"/>
      <c r="F166" s="10">
        <f t="shared" si="26"/>
        <v>0</v>
      </c>
      <c r="G166" s="9"/>
      <c r="H166" s="11"/>
      <c r="I166" s="10">
        <f t="shared" si="27"/>
        <v>0</v>
      </c>
      <c r="J166" s="9"/>
      <c r="K166" s="10"/>
      <c r="L166" s="9"/>
      <c r="M166" s="10"/>
      <c r="N166" s="9"/>
      <c r="O166" s="11"/>
      <c r="P166" s="11"/>
      <c r="Q166" s="10" t="e">
        <f t="shared" si="28"/>
        <v>#DIV/0!</v>
      </c>
      <c r="R166" s="9"/>
      <c r="S166" s="11"/>
      <c r="T166" s="10"/>
      <c r="U166" s="9"/>
      <c r="V166" s="11"/>
      <c r="W166" s="11"/>
      <c r="X166" s="10"/>
      <c r="Y166" s="9"/>
      <c r="Z166" s="8"/>
      <c r="AA166" s="7" t="s">
        <v>4</v>
      </c>
    </row>
    <row r="167" spans="2:28">
      <c r="B167" s="12">
        <v>46169</v>
      </c>
      <c r="C167" s="9"/>
      <c r="D167" s="11"/>
      <c r="E167" s="11"/>
      <c r="F167" s="10">
        <f t="shared" si="26"/>
        <v>0</v>
      </c>
      <c r="G167" s="9"/>
      <c r="H167" s="11"/>
      <c r="I167" s="10">
        <f t="shared" si="27"/>
        <v>0</v>
      </c>
      <c r="J167" s="9"/>
      <c r="K167" s="10"/>
      <c r="L167" s="9"/>
      <c r="M167" s="10"/>
      <c r="N167" s="9"/>
      <c r="O167" s="11"/>
      <c r="P167" s="11"/>
      <c r="Q167" s="10" t="e">
        <f t="shared" si="28"/>
        <v>#DIV/0!</v>
      </c>
      <c r="R167" s="9"/>
      <c r="S167" s="11"/>
      <c r="T167" s="10"/>
      <c r="U167" s="9"/>
      <c r="V167" s="11"/>
      <c r="W167" s="11"/>
      <c r="X167" s="10"/>
      <c r="Y167" s="9"/>
      <c r="Z167" s="8"/>
      <c r="AA167" s="7" t="s">
        <v>3</v>
      </c>
    </row>
    <row r="168" spans="2:28">
      <c r="B168" s="12">
        <v>46170</v>
      </c>
      <c r="C168" s="9"/>
      <c r="D168" s="11"/>
      <c r="E168" s="11"/>
      <c r="F168" s="10">
        <f t="shared" si="26"/>
        <v>0</v>
      </c>
      <c r="G168" s="9"/>
      <c r="H168" s="11"/>
      <c r="I168" s="10">
        <f t="shared" si="27"/>
        <v>0</v>
      </c>
      <c r="J168" s="9"/>
      <c r="K168" s="10"/>
      <c r="L168" s="9"/>
      <c r="M168" s="10"/>
      <c r="N168" s="9"/>
      <c r="O168" s="11"/>
      <c r="P168" s="11"/>
      <c r="Q168" s="10" t="e">
        <f t="shared" si="28"/>
        <v>#DIV/0!</v>
      </c>
      <c r="R168" s="9"/>
      <c r="S168" s="11"/>
      <c r="T168" s="10"/>
      <c r="U168" s="9"/>
      <c r="V168" s="11"/>
      <c r="W168" s="11"/>
      <c r="X168" s="10"/>
      <c r="Y168" s="9"/>
      <c r="Z168" s="8"/>
      <c r="AA168" s="7" t="s">
        <v>2</v>
      </c>
    </row>
    <row r="169" spans="2:28">
      <c r="B169" s="12">
        <v>46171</v>
      </c>
      <c r="C169" s="9"/>
      <c r="D169" s="11"/>
      <c r="E169" s="11"/>
      <c r="F169" s="10">
        <f t="shared" si="26"/>
        <v>0</v>
      </c>
      <c r="G169" s="9"/>
      <c r="H169" s="11"/>
      <c r="I169" s="10">
        <f t="shared" si="27"/>
        <v>0</v>
      </c>
      <c r="J169" s="9"/>
      <c r="K169" s="10"/>
      <c r="L169" s="9"/>
      <c r="M169" s="10"/>
      <c r="N169" s="9"/>
      <c r="O169" s="11"/>
      <c r="P169" s="11"/>
      <c r="Q169" s="10" t="e">
        <f t="shared" si="28"/>
        <v>#DIV/0!</v>
      </c>
      <c r="R169" s="9"/>
      <c r="S169" s="11"/>
      <c r="T169" s="10"/>
      <c r="U169" s="9"/>
      <c r="V169" s="11"/>
      <c r="W169" s="11"/>
      <c r="X169" s="10"/>
      <c r="Y169" s="9"/>
      <c r="Z169" s="8"/>
      <c r="AA169" s="7" t="s">
        <v>1</v>
      </c>
    </row>
    <row r="170" spans="2:28">
      <c r="B170" s="12">
        <v>46172</v>
      </c>
      <c r="C170" s="9"/>
      <c r="D170" s="11"/>
      <c r="E170" s="11"/>
      <c r="F170" s="10">
        <f t="shared" si="26"/>
        <v>0</v>
      </c>
      <c r="G170" s="9"/>
      <c r="H170" s="11"/>
      <c r="I170" s="10">
        <f t="shared" si="27"/>
        <v>0</v>
      </c>
      <c r="J170" s="9"/>
      <c r="K170" s="10"/>
      <c r="L170" s="9"/>
      <c r="M170" s="10"/>
      <c r="N170" s="9"/>
      <c r="O170" s="11"/>
      <c r="P170" s="11"/>
      <c r="Q170" s="10" t="e">
        <f t="shared" si="28"/>
        <v>#DIV/0!</v>
      </c>
      <c r="R170" s="9"/>
      <c r="S170" s="11"/>
      <c r="T170" s="10"/>
      <c r="U170" s="9"/>
      <c r="V170" s="11"/>
      <c r="W170" s="11"/>
      <c r="X170" s="10"/>
      <c r="Y170" s="9"/>
      <c r="Z170" s="8"/>
      <c r="AA170" s="7" t="s">
        <v>59</v>
      </c>
    </row>
    <row r="171" spans="2:28" ht="17.25" thickBot="1">
      <c r="B171" s="6">
        <v>46173</v>
      </c>
      <c r="C171" s="3"/>
      <c r="D171" s="5"/>
      <c r="E171" s="5"/>
      <c r="F171" s="4">
        <f t="shared" si="26"/>
        <v>0</v>
      </c>
      <c r="G171" s="3"/>
      <c r="H171" s="5"/>
      <c r="I171" s="4">
        <f t="shared" si="27"/>
        <v>0</v>
      </c>
      <c r="J171" s="3"/>
      <c r="K171" s="4"/>
      <c r="L171" s="3"/>
      <c r="M171" s="4"/>
      <c r="N171" s="3"/>
      <c r="O171" s="5"/>
      <c r="P171" s="5"/>
      <c r="Q171" s="4" t="e">
        <f t="shared" si="28"/>
        <v>#DIV/0!</v>
      </c>
      <c r="R171" s="3"/>
      <c r="S171" s="5"/>
      <c r="T171" s="4"/>
      <c r="U171" s="3"/>
      <c r="V171" s="5"/>
      <c r="W171" s="5"/>
      <c r="X171" s="4"/>
      <c r="Y171" s="3"/>
      <c r="Z171" s="2"/>
      <c r="AA171" s="1" t="s">
        <v>58</v>
      </c>
    </row>
    <row r="172" spans="2:28" ht="17.25" thickBot="1"/>
    <row r="173" spans="2:28" ht="27" customHeight="1" thickBot="1">
      <c r="B173" s="194"/>
      <c r="C173" s="206" t="s">
        <v>57</v>
      </c>
      <c r="D173" s="207"/>
      <c r="E173" s="207"/>
      <c r="F173" s="208"/>
      <c r="G173" s="209" t="s">
        <v>56</v>
      </c>
      <c r="H173" s="210"/>
      <c r="I173" s="211"/>
      <c r="J173" s="206" t="s">
        <v>55</v>
      </c>
      <c r="K173" s="208"/>
      <c r="L173" s="212" t="s">
        <v>54</v>
      </c>
      <c r="M173" s="208"/>
      <c r="N173" s="213" t="s">
        <v>53</v>
      </c>
      <c r="O173" s="214"/>
      <c r="P173" s="214"/>
      <c r="Q173" s="215"/>
      <c r="R173" s="206" t="s">
        <v>52</v>
      </c>
      <c r="S173" s="207"/>
      <c r="T173" s="208"/>
      <c r="U173" s="206" t="s">
        <v>51</v>
      </c>
      <c r="V173" s="207"/>
      <c r="W173" s="207"/>
      <c r="X173" s="208"/>
      <c r="Y173" s="206" t="s">
        <v>50</v>
      </c>
      <c r="Z173" s="207"/>
      <c r="AA173" s="192" t="s">
        <v>49</v>
      </c>
    </row>
    <row r="174" spans="2:28" ht="27" customHeight="1" thickBot="1">
      <c r="B174" s="195"/>
      <c r="C174" s="25" t="s">
        <v>48</v>
      </c>
      <c r="D174" s="27" t="s">
        <v>47</v>
      </c>
      <c r="E174" s="27" t="s">
        <v>46</v>
      </c>
      <c r="F174" s="26" t="s">
        <v>45</v>
      </c>
      <c r="G174" s="25" t="s">
        <v>43</v>
      </c>
      <c r="H174" s="27" t="s">
        <v>42</v>
      </c>
      <c r="I174" s="26" t="s">
        <v>44</v>
      </c>
      <c r="J174" s="25" t="s">
        <v>43</v>
      </c>
      <c r="K174" s="26" t="s">
        <v>42</v>
      </c>
      <c r="L174" s="25" t="s">
        <v>43</v>
      </c>
      <c r="M174" s="26" t="s">
        <v>42</v>
      </c>
      <c r="N174" s="31" t="s">
        <v>41</v>
      </c>
      <c r="O174" s="30" t="s">
        <v>40</v>
      </c>
      <c r="P174" s="30" t="s">
        <v>39</v>
      </c>
      <c r="Q174" s="29" t="s">
        <v>38</v>
      </c>
      <c r="R174" s="108" t="s">
        <v>143</v>
      </c>
      <c r="S174" s="107" t="s">
        <v>144</v>
      </c>
      <c r="T174" s="26" t="s">
        <v>37</v>
      </c>
      <c r="U174" s="25" t="s">
        <v>36</v>
      </c>
      <c r="V174" s="28" t="s">
        <v>35</v>
      </c>
      <c r="W174" s="27" t="s">
        <v>34</v>
      </c>
      <c r="X174" s="26" t="s">
        <v>33</v>
      </c>
      <c r="Y174" s="25" t="s">
        <v>32</v>
      </c>
      <c r="Z174" s="24" t="s">
        <v>31</v>
      </c>
      <c r="AA174" s="193"/>
    </row>
    <row r="175" spans="2:28" ht="20.25" customHeight="1" thickBot="1">
      <c r="B175" s="23" t="s">
        <v>30</v>
      </c>
      <c r="C175" s="20">
        <f t="shared" ref="C175:I175" si="29">SUM(C176:C205)</f>
        <v>0</v>
      </c>
      <c r="D175" s="22">
        <f t="shared" si="29"/>
        <v>0</v>
      </c>
      <c r="E175" s="22">
        <f t="shared" si="29"/>
        <v>0</v>
      </c>
      <c r="F175" s="21">
        <f t="shared" si="29"/>
        <v>0</v>
      </c>
      <c r="G175" s="20">
        <f t="shared" si="29"/>
        <v>0</v>
      </c>
      <c r="H175" s="22">
        <f t="shared" si="29"/>
        <v>0</v>
      </c>
      <c r="I175" s="21">
        <f t="shared" si="29"/>
        <v>0</v>
      </c>
      <c r="J175" s="20">
        <f>IFERROR(AVERAGE(J176:J205),0)</f>
        <v>0</v>
      </c>
      <c r="K175" s="21">
        <f>IFERROR(AVERAGE(K176:K205),0)</f>
        <v>0</v>
      </c>
      <c r="L175" s="20">
        <f>IFERROR(AVERAGE(L176:L205),0)</f>
        <v>0</v>
      </c>
      <c r="M175" s="21">
        <f>IFERROR(AVERAGE(M176:M205),0)</f>
        <v>0</v>
      </c>
      <c r="N175" s="20">
        <f>SUM(N176:N205)</f>
        <v>0</v>
      </c>
      <c r="O175" s="22">
        <f>SUM(O176:O205)</f>
        <v>0</v>
      </c>
      <c r="P175" s="22">
        <f>SUM(P176:P205)</f>
        <v>0</v>
      </c>
      <c r="Q175" s="21">
        <f>IFERROR(O175/N175*100,0)</f>
        <v>0</v>
      </c>
      <c r="R175" s="20">
        <f t="shared" ref="R175:Z175" si="30">SUM(R176:R205)</f>
        <v>0</v>
      </c>
      <c r="S175" s="22">
        <f t="shared" si="30"/>
        <v>0</v>
      </c>
      <c r="T175" s="21">
        <f t="shared" si="30"/>
        <v>0</v>
      </c>
      <c r="U175" s="20">
        <f t="shared" si="30"/>
        <v>0</v>
      </c>
      <c r="V175" s="22">
        <f t="shared" si="30"/>
        <v>0</v>
      </c>
      <c r="W175" s="22">
        <f t="shared" si="30"/>
        <v>0</v>
      </c>
      <c r="X175" s="21">
        <f t="shared" si="30"/>
        <v>0</v>
      </c>
      <c r="Y175" s="20">
        <f t="shared" si="30"/>
        <v>0</v>
      </c>
      <c r="Z175" s="19">
        <f t="shared" si="30"/>
        <v>0</v>
      </c>
      <c r="AA175" s="18"/>
    </row>
    <row r="176" spans="2:28">
      <c r="B176" s="12">
        <v>46174</v>
      </c>
      <c r="C176" s="15"/>
      <c r="D176" s="17"/>
      <c r="E176" s="17"/>
      <c r="F176" s="16">
        <f t="shared" ref="F176:F205" si="31">SUM(C176:E176)</f>
        <v>0</v>
      </c>
      <c r="G176" s="15"/>
      <c r="H176" s="17"/>
      <c r="I176" s="16">
        <f t="shared" ref="I176:I205" si="32">SUM(G176:H176)</f>
        <v>0</v>
      </c>
      <c r="J176" s="15"/>
      <c r="K176" s="16"/>
      <c r="L176" s="15"/>
      <c r="M176" s="16"/>
      <c r="N176" s="15"/>
      <c r="O176" s="17"/>
      <c r="P176" s="17"/>
      <c r="Q176" s="16" t="e">
        <f>O176/N176*100</f>
        <v>#DIV/0!</v>
      </c>
      <c r="R176" s="15"/>
      <c r="S176" s="17"/>
      <c r="T176" s="16"/>
      <c r="U176" s="15"/>
      <c r="V176" s="17"/>
      <c r="W176" s="17"/>
      <c r="X176" s="16"/>
      <c r="Y176" s="15"/>
      <c r="Z176" s="14"/>
      <c r="AA176" s="13" t="s">
        <v>29</v>
      </c>
      <c r="AB176" s="158"/>
    </row>
    <row r="177" spans="2:28">
      <c r="B177" s="12">
        <v>46175</v>
      </c>
      <c r="C177" s="9"/>
      <c r="D177" s="11"/>
      <c r="E177" s="11"/>
      <c r="F177" s="10">
        <f t="shared" si="31"/>
        <v>0</v>
      </c>
      <c r="G177" s="9"/>
      <c r="H177" s="11"/>
      <c r="I177" s="10">
        <f t="shared" si="32"/>
        <v>0</v>
      </c>
      <c r="J177" s="9"/>
      <c r="K177" s="10"/>
      <c r="L177" s="9"/>
      <c r="M177" s="10"/>
      <c r="N177" s="9"/>
      <c r="O177" s="11"/>
      <c r="P177" s="11"/>
      <c r="Q177" s="16" t="e">
        <f t="shared" ref="Q177:Q205" si="33">O177/N177*100</f>
        <v>#DIV/0!</v>
      </c>
      <c r="R177" s="9"/>
      <c r="S177" s="11"/>
      <c r="T177" s="10"/>
      <c r="U177" s="9"/>
      <c r="V177" s="11"/>
      <c r="W177" s="11"/>
      <c r="X177" s="10"/>
      <c r="Y177" s="9"/>
      <c r="Z177" s="8"/>
      <c r="AA177" s="7" t="s">
        <v>28</v>
      </c>
      <c r="AB177" s="158"/>
    </row>
    <row r="178" spans="2:28">
      <c r="B178" s="12">
        <v>46176</v>
      </c>
      <c r="C178" s="9"/>
      <c r="D178" s="11"/>
      <c r="E178" s="11"/>
      <c r="F178" s="10">
        <f t="shared" si="31"/>
        <v>0</v>
      </c>
      <c r="G178" s="9"/>
      <c r="H178" s="11"/>
      <c r="I178" s="10">
        <f t="shared" si="32"/>
        <v>0</v>
      </c>
      <c r="J178" s="9"/>
      <c r="K178" s="10"/>
      <c r="L178" s="9"/>
      <c r="M178" s="10"/>
      <c r="N178" s="9"/>
      <c r="O178" s="11"/>
      <c r="P178" s="11"/>
      <c r="Q178" s="16" t="e">
        <f t="shared" si="33"/>
        <v>#DIV/0!</v>
      </c>
      <c r="R178" s="9"/>
      <c r="S178" s="11"/>
      <c r="T178" s="10"/>
      <c r="U178" s="9"/>
      <c r="V178" s="11"/>
      <c r="W178" s="11"/>
      <c r="X178" s="10"/>
      <c r="Y178" s="9"/>
      <c r="Z178" s="8"/>
      <c r="AA178" s="7" t="s">
        <v>27</v>
      </c>
      <c r="AB178" s="158"/>
    </row>
    <row r="179" spans="2:28">
      <c r="B179" s="12">
        <v>46177</v>
      </c>
      <c r="C179" s="9"/>
      <c r="D179" s="11"/>
      <c r="E179" s="11"/>
      <c r="F179" s="10">
        <f t="shared" si="31"/>
        <v>0</v>
      </c>
      <c r="G179" s="9"/>
      <c r="H179" s="11"/>
      <c r="I179" s="10">
        <f t="shared" si="32"/>
        <v>0</v>
      </c>
      <c r="J179" s="9"/>
      <c r="K179" s="10"/>
      <c r="L179" s="9"/>
      <c r="M179" s="10"/>
      <c r="N179" s="9"/>
      <c r="O179" s="11"/>
      <c r="P179" s="11"/>
      <c r="Q179" s="16" t="e">
        <f t="shared" si="33"/>
        <v>#DIV/0!</v>
      </c>
      <c r="R179" s="9"/>
      <c r="S179" s="11"/>
      <c r="T179" s="10"/>
      <c r="U179" s="9"/>
      <c r="V179" s="11"/>
      <c r="W179" s="11"/>
      <c r="X179" s="10"/>
      <c r="Y179" s="9"/>
      <c r="Z179" s="8"/>
      <c r="AA179" s="7" t="s">
        <v>26</v>
      </c>
      <c r="AB179" s="158"/>
    </row>
    <row r="180" spans="2:28">
      <c r="B180" s="12">
        <v>46178</v>
      </c>
      <c r="C180" s="9"/>
      <c r="D180" s="11"/>
      <c r="E180" s="11"/>
      <c r="F180" s="10">
        <f t="shared" si="31"/>
        <v>0</v>
      </c>
      <c r="G180" s="9"/>
      <c r="H180" s="11"/>
      <c r="I180" s="10">
        <f t="shared" si="32"/>
        <v>0</v>
      </c>
      <c r="J180" s="9"/>
      <c r="K180" s="10"/>
      <c r="L180" s="9"/>
      <c r="M180" s="10"/>
      <c r="N180" s="9"/>
      <c r="O180" s="11"/>
      <c r="P180" s="11"/>
      <c r="Q180" s="10" t="e">
        <f t="shared" si="33"/>
        <v>#DIV/0!</v>
      </c>
      <c r="R180" s="9"/>
      <c r="S180" s="11"/>
      <c r="T180" s="10"/>
      <c r="U180" s="9"/>
      <c r="V180" s="11"/>
      <c r="W180" s="11"/>
      <c r="X180" s="10"/>
      <c r="Y180" s="9"/>
      <c r="Z180" s="8"/>
      <c r="AA180" s="7" t="s">
        <v>25</v>
      </c>
      <c r="AB180" s="158"/>
    </row>
    <row r="181" spans="2:28">
      <c r="B181" s="12">
        <v>46179</v>
      </c>
      <c r="C181" s="9"/>
      <c r="D181" s="11"/>
      <c r="E181" s="11"/>
      <c r="F181" s="10">
        <f t="shared" si="31"/>
        <v>0</v>
      </c>
      <c r="G181" s="9"/>
      <c r="H181" s="11"/>
      <c r="I181" s="10">
        <f t="shared" si="32"/>
        <v>0</v>
      </c>
      <c r="J181" s="9"/>
      <c r="K181" s="10"/>
      <c r="L181" s="9"/>
      <c r="M181" s="10"/>
      <c r="N181" s="9"/>
      <c r="O181" s="11"/>
      <c r="P181" s="11"/>
      <c r="Q181" s="10" t="e">
        <f t="shared" si="33"/>
        <v>#DIV/0!</v>
      </c>
      <c r="R181" s="9"/>
      <c r="S181" s="11"/>
      <c r="T181" s="10"/>
      <c r="U181" s="9"/>
      <c r="V181" s="11"/>
      <c r="W181" s="11"/>
      <c r="X181" s="10"/>
      <c r="Y181" s="9"/>
      <c r="Z181" s="8"/>
      <c r="AA181" s="7" t="s">
        <v>24</v>
      </c>
      <c r="AB181" s="158"/>
    </row>
    <row r="182" spans="2:28">
      <c r="B182" s="12">
        <v>46180</v>
      </c>
      <c r="C182" s="9"/>
      <c r="D182" s="11"/>
      <c r="E182" s="11"/>
      <c r="F182" s="10">
        <f t="shared" si="31"/>
        <v>0</v>
      </c>
      <c r="G182" s="9"/>
      <c r="H182" s="11"/>
      <c r="I182" s="10">
        <f t="shared" si="32"/>
        <v>0</v>
      </c>
      <c r="J182" s="9"/>
      <c r="K182" s="10"/>
      <c r="L182" s="9"/>
      <c r="M182" s="10"/>
      <c r="N182" s="9"/>
      <c r="O182" s="11"/>
      <c r="P182" s="11"/>
      <c r="Q182" s="10" t="e">
        <f t="shared" si="33"/>
        <v>#DIV/0!</v>
      </c>
      <c r="R182" s="9"/>
      <c r="S182" s="11"/>
      <c r="T182" s="10"/>
      <c r="U182" s="9"/>
      <c r="V182" s="11"/>
      <c r="W182" s="11"/>
      <c r="X182" s="10"/>
      <c r="Y182" s="9"/>
      <c r="Z182" s="8"/>
      <c r="AA182" s="7" t="s">
        <v>23</v>
      </c>
      <c r="AB182" s="158"/>
    </row>
    <row r="183" spans="2:28">
      <c r="B183" s="12">
        <v>46181</v>
      </c>
      <c r="C183" s="9"/>
      <c r="D183" s="11"/>
      <c r="E183" s="11"/>
      <c r="F183" s="10">
        <f t="shared" si="31"/>
        <v>0</v>
      </c>
      <c r="G183" s="9"/>
      <c r="H183" s="11"/>
      <c r="I183" s="10">
        <f t="shared" si="32"/>
        <v>0</v>
      </c>
      <c r="J183" s="9"/>
      <c r="K183" s="10"/>
      <c r="L183" s="9"/>
      <c r="M183" s="10"/>
      <c r="N183" s="9"/>
      <c r="O183" s="11"/>
      <c r="P183" s="11"/>
      <c r="Q183" s="10" t="e">
        <f t="shared" si="33"/>
        <v>#DIV/0!</v>
      </c>
      <c r="R183" s="9"/>
      <c r="S183" s="11"/>
      <c r="T183" s="10"/>
      <c r="U183" s="9"/>
      <c r="V183" s="11"/>
      <c r="W183" s="11"/>
      <c r="X183" s="10"/>
      <c r="Y183" s="9"/>
      <c r="Z183" s="8"/>
      <c r="AA183" s="7" t="s">
        <v>22</v>
      </c>
      <c r="AB183" s="158"/>
    </row>
    <row r="184" spans="2:28">
      <c r="B184" s="12">
        <v>46182</v>
      </c>
      <c r="C184" s="9"/>
      <c r="D184" s="11"/>
      <c r="E184" s="11"/>
      <c r="F184" s="10">
        <f t="shared" si="31"/>
        <v>0</v>
      </c>
      <c r="G184" s="9"/>
      <c r="H184" s="11"/>
      <c r="I184" s="10">
        <f t="shared" si="32"/>
        <v>0</v>
      </c>
      <c r="J184" s="9"/>
      <c r="K184" s="10"/>
      <c r="L184" s="9"/>
      <c r="M184" s="10"/>
      <c r="N184" s="9"/>
      <c r="O184" s="11"/>
      <c r="P184" s="11"/>
      <c r="Q184" s="10" t="e">
        <f t="shared" si="33"/>
        <v>#DIV/0!</v>
      </c>
      <c r="R184" s="9"/>
      <c r="S184" s="11"/>
      <c r="T184" s="10"/>
      <c r="U184" s="9"/>
      <c r="V184" s="11"/>
      <c r="W184" s="11"/>
      <c r="X184" s="10"/>
      <c r="Y184" s="9"/>
      <c r="Z184" s="8"/>
      <c r="AA184" s="7" t="s">
        <v>21</v>
      </c>
      <c r="AB184" s="158"/>
    </row>
    <row r="185" spans="2:28">
      <c r="B185" s="12">
        <v>46183</v>
      </c>
      <c r="C185" s="9"/>
      <c r="D185" s="11"/>
      <c r="E185" s="11"/>
      <c r="F185" s="10">
        <f t="shared" si="31"/>
        <v>0</v>
      </c>
      <c r="G185" s="9"/>
      <c r="H185" s="11"/>
      <c r="I185" s="10">
        <f t="shared" si="32"/>
        <v>0</v>
      </c>
      <c r="J185" s="9"/>
      <c r="K185" s="10"/>
      <c r="L185" s="9"/>
      <c r="M185" s="10"/>
      <c r="N185" s="9"/>
      <c r="O185" s="11"/>
      <c r="P185" s="11"/>
      <c r="Q185" s="10" t="e">
        <f t="shared" si="33"/>
        <v>#DIV/0!</v>
      </c>
      <c r="R185" s="9"/>
      <c r="S185" s="11"/>
      <c r="T185" s="10"/>
      <c r="U185" s="9"/>
      <c r="V185" s="11"/>
      <c r="W185" s="11"/>
      <c r="X185" s="10"/>
      <c r="Y185" s="9"/>
      <c r="Z185" s="8"/>
      <c r="AA185" s="7" t="s">
        <v>20</v>
      </c>
      <c r="AB185" s="158"/>
    </row>
    <row r="186" spans="2:28">
      <c r="B186" s="12">
        <v>46184</v>
      </c>
      <c r="C186" s="9"/>
      <c r="D186" s="11"/>
      <c r="E186" s="11"/>
      <c r="F186" s="10">
        <f t="shared" si="31"/>
        <v>0</v>
      </c>
      <c r="G186" s="9"/>
      <c r="H186" s="11"/>
      <c r="I186" s="10">
        <f t="shared" si="32"/>
        <v>0</v>
      </c>
      <c r="J186" s="9"/>
      <c r="K186" s="10"/>
      <c r="L186" s="9"/>
      <c r="M186" s="10"/>
      <c r="N186" s="9"/>
      <c r="O186" s="11"/>
      <c r="P186" s="11"/>
      <c r="Q186" s="10" t="e">
        <f t="shared" si="33"/>
        <v>#DIV/0!</v>
      </c>
      <c r="R186" s="9"/>
      <c r="S186" s="11"/>
      <c r="T186" s="10"/>
      <c r="U186" s="9"/>
      <c r="V186" s="11"/>
      <c r="W186" s="11"/>
      <c r="X186" s="10"/>
      <c r="Y186" s="9"/>
      <c r="Z186" s="8"/>
      <c r="AA186" s="7" t="s">
        <v>19</v>
      </c>
      <c r="AB186" s="158"/>
    </row>
    <row r="187" spans="2:28">
      <c r="B187" s="12">
        <v>46185</v>
      </c>
      <c r="C187" s="9"/>
      <c r="D187" s="11"/>
      <c r="E187" s="11"/>
      <c r="F187" s="10">
        <f t="shared" si="31"/>
        <v>0</v>
      </c>
      <c r="G187" s="9"/>
      <c r="H187" s="11"/>
      <c r="I187" s="10">
        <f t="shared" si="32"/>
        <v>0</v>
      </c>
      <c r="J187" s="9"/>
      <c r="K187" s="10"/>
      <c r="L187" s="9"/>
      <c r="M187" s="10"/>
      <c r="N187" s="9"/>
      <c r="O187" s="11"/>
      <c r="P187" s="11"/>
      <c r="Q187" s="10" t="e">
        <f t="shared" si="33"/>
        <v>#DIV/0!</v>
      </c>
      <c r="R187" s="9"/>
      <c r="S187" s="11"/>
      <c r="T187" s="10"/>
      <c r="U187" s="9"/>
      <c r="V187" s="11"/>
      <c r="W187" s="11"/>
      <c r="X187" s="10"/>
      <c r="Y187" s="9"/>
      <c r="Z187" s="8"/>
      <c r="AA187" s="7" t="s">
        <v>18</v>
      </c>
      <c r="AB187" s="158"/>
    </row>
    <row r="188" spans="2:28">
      <c r="B188" s="12">
        <v>46186</v>
      </c>
      <c r="C188" s="9"/>
      <c r="D188" s="11"/>
      <c r="E188" s="11"/>
      <c r="F188" s="10">
        <f t="shared" si="31"/>
        <v>0</v>
      </c>
      <c r="G188" s="9"/>
      <c r="H188" s="11"/>
      <c r="I188" s="10">
        <f t="shared" si="32"/>
        <v>0</v>
      </c>
      <c r="J188" s="9"/>
      <c r="K188" s="10"/>
      <c r="L188" s="9"/>
      <c r="M188" s="10"/>
      <c r="N188" s="9"/>
      <c r="O188" s="11"/>
      <c r="P188" s="11"/>
      <c r="Q188" s="10" t="e">
        <f t="shared" si="33"/>
        <v>#DIV/0!</v>
      </c>
      <c r="R188" s="9"/>
      <c r="S188" s="11"/>
      <c r="T188" s="10"/>
      <c r="U188" s="9"/>
      <c r="V188" s="11"/>
      <c r="W188" s="11"/>
      <c r="X188" s="10"/>
      <c r="Y188" s="9"/>
      <c r="Z188" s="8"/>
      <c r="AA188" s="7" t="s">
        <v>17</v>
      </c>
      <c r="AB188" s="158"/>
    </row>
    <row r="189" spans="2:28">
      <c r="B189" s="12">
        <v>46187</v>
      </c>
      <c r="C189" s="9"/>
      <c r="D189" s="11"/>
      <c r="E189" s="11"/>
      <c r="F189" s="10">
        <f t="shared" si="31"/>
        <v>0</v>
      </c>
      <c r="G189" s="9"/>
      <c r="H189" s="11"/>
      <c r="I189" s="10">
        <f t="shared" si="32"/>
        <v>0</v>
      </c>
      <c r="J189" s="9"/>
      <c r="K189" s="10"/>
      <c r="L189" s="9"/>
      <c r="M189" s="10"/>
      <c r="N189" s="9"/>
      <c r="O189" s="11"/>
      <c r="P189" s="11"/>
      <c r="Q189" s="10" t="e">
        <f t="shared" si="33"/>
        <v>#DIV/0!</v>
      </c>
      <c r="R189" s="9"/>
      <c r="S189" s="11"/>
      <c r="T189" s="10"/>
      <c r="U189" s="9"/>
      <c r="V189" s="11"/>
      <c r="W189" s="11"/>
      <c r="X189" s="10"/>
      <c r="Y189" s="9"/>
      <c r="Z189" s="8"/>
      <c r="AA189" s="7" t="s">
        <v>16</v>
      </c>
      <c r="AB189" s="158"/>
    </row>
    <row r="190" spans="2:28">
      <c r="B190" s="12">
        <v>46188</v>
      </c>
      <c r="C190" s="9"/>
      <c r="D190" s="11"/>
      <c r="E190" s="11"/>
      <c r="F190" s="10">
        <f t="shared" si="31"/>
        <v>0</v>
      </c>
      <c r="G190" s="9"/>
      <c r="H190" s="11"/>
      <c r="I190" s="10">
        <f t="shared" si="32"/>
        <v>0</v>
      </c>
      <c r="J190" s="9"/>
      <c r="K190" s="10"/>
      <c r="L190" s="9"/>
      <c r="M190" s="10"/>
      <c r="N190" s="9"/>
      <c r="O190" s="11"/>
      <c r="P190" s="11"/>
      <c r="Q190" s="10" t="e">
        <f t="shared" si="33"/>
        <v>#DIV/0!</v>
      </c>
      <c r="R190" s="9"/>
      <c r="S190" s="11"/>
      <c r="T190" s="10"/>
      <c r="U190" s="9"/>
      <c r="V190" s="11"/>
      <c r="W190" s="11"/>
      <c r="X190" s="10"/>
      <c r="Y190" s="9"/>
      <c r="Z190" s="8"/>
      <c r="AA190" s="7" t="s">
        <v>15</v>
      </c>
      <c r="AB190" s="158"/>
    </row>
    <row r="191" spans="2:28">
      <c r="B191" s="12">
        <v>46189</v>
      </c>
      <c r="C191" s="9"/>
      <c r="D191" s="11"/>
      <c r="E191" s="11"/>
      <c r="F191" s="10">
        <f t="shared" si="31"/>
        <v>0</v>
      </c>
      <c r="G191" s="9"/>
      <c r="H191" s="11"/>
      <c r="I191" s="10">
        <f t="shared" si="32"/>
        <v>0</v>
      </c>
      <c r="J191" s="9"/>
      <c r="K191" s="10"/>
      <c r="L191" s="9"/>
      <c r="M191" s="10"/>
      <c r="N191" s="9"/>
      <c r="O191" s="11"/>
      <c r="P191" s="11"/>
      <c r="Q191" s="10" t="e">
        <f t="shared" si="33"/>
        <v>#DIV/0!</v>
      </c>
      <c r="R191" s="9"/>
      <c r="S191" s="11"/>
      <c r="T191" s="10"/>
      <c r="U191" s="9"/>
      <c r="V191" s="11"/>
      <c r="W191" s="11"/>
      <c r="X191" s="10"/>
      <c r="Y191" s="9"/>
      <c r="Z191" s="8"/>
      <c r="AA191" s="7" t="s">
        <v>14</v>
      </c>
      <c r="AB191" s="158"/>
    </row>
    <row r="192" spans="2:28">
      <c r="B192" s="12">
        <v>46190</v>
      </c>
      <c r="C192" s="9"/>
      <c r="D192" s="11"/>
      <c r="E192" s="11"/>
      <c r="F192" s="10">
        <f t="shared" si="31"/>
        <v>0</v>
      </c>
      <c r="G192" s="9"/>
      <c r="H192" s="11"/>
      <c r="I192" s="10">
        <f t="shared" si="32"/>
        <v>0</v>
      </c>
      <c r="J192" s="9"/>
      <c r="K192" s="10"/>
      <c r="L192" s="9"/>
      <c r="M192" s="10"/>
      <c r="N192" s="9"/>
      <c r="O192" s="11"/>
      <c r="P192" s="11"/>
      <c r="Q192" s="10" t="e">
        <f t="shared" si="33"/>
        <v>#DIV/0!</v>
      </c>
      <c r="R192" s="9"/>
      <c r="S192" s="11"/>
      <c r="T192" s="10"/>
      <c r="U192" s="9"/>
      <c r="V192" s="11"/>
      <c r="W192" s="11"/>
      <c r="X192" s="10"/>
      <c r="Y192" s="9"/>
      <c r="Z192" s="8"/>
      <c r="AA192" s="7" t="s">
        <v>13</v>
      </c>
      <c r="AB192" s="158"/>
    </row>
    <row r="193" spans="2:28">
      <c r="B193" s="12">
        <v>46191</v>
      </c>
      <c r="C193" s="9"/>
      <c r="D193" s="11"/>
      <c r="E193" s="11"/>
      <c r="F193" s="10">
        <f t="shared" si="31"/>
        <v>0</v>
      </c>
      <c r="G193" s="9"/>
      <c r="H193" s="11"/>
      <c r="I193" s="10">
        <f t="shared" si="32"/>
        <v>0</v>
      </c>
      <c r="J193" s="9"/>
      <c r="K193" s="10"/>
      <c r="L193" s="9"/>
      <c r="M193" s="10"/>
      <c r="N193" s="9"/>
      <c r="O193" s="11"/>
      <c r="P193" s="11"/>
      <c r="Q193" s="10" t="e">
        <f t="shared" si="33"/>
        <v>#DIV/0!</v>
      </c>
      <c r="R193" s="9"/>
      <c r="S193" s="11"/>
      <c r="T193" s="10"/>
      <c r="U193" s="9"/>
      <c r="V193" s="11"/>
      <c r="W193" s="11"/>
      <c r="X193" s="10"/>
      <c r="Y193" s="9"/>
      <c r="Z193" s="8"/>
      <c r="AA193" s="7" t="s">
        <v>12</v>
      </c>
      <c r="AB193" s="158"/>
    </row>
    <row r="194" spans="2:28">
      <c r="B194" s="12">
        <v>46192</v>
      </c>
      <c r="C194" s="9"/>
      <c r="D194" s="11"/>
      <c r="E194" s="11"/>
      <c r="F194" s="10">
        <f t="shared" si="31"/>
        <v>0</v>
      </c>
      <c r="G194" s="9"/>
      <c r="H194" s="11"/>
      <c r="I194" s="10">
        <f t="shared" si="32"/>
        <v>0</v>
      </c>
      <c r="J194" s="9"/>
      <c r="K194" s="10"/>
      <c r="L194" s="9"/>
      <c r="M194" s="10"/>
      <c r="N194" s="9"/>
      <c r="O194" s="11"/>
      <c r="P194" s="11"/>
      <c r="Q194" s="10" t="e">
        <f t="shared" si="33"/>
        <v>#DIV/0!</v>
      </c>
      <c r="R194" s="9"/>
      <c r="S194" s="11"/>
      <c r="T194" s="10"/>
      <c r="U194" s="9"/>
      <c r="V194" s="11"/>
      <c r="W194" s="11"/>
      <c r="X194" s="10"/>
      <c r="Y194" s="9"/>
      <c r="Z194" s="8"/>
      <c r="AA194" s="7" t="s">
        <v>11</v>
      </c>
      <c r="AB194" s="158"/>
    </row>
    <row r="195" spans="2:28">
      <c r="B195" s="12">
        <v>46193</v>
      </c>
      <c r="C195" s="9"/>
      <c r="D195" s="11"/>
      <c r="E195" s="11"/>
      <c r="F195" s="10">
        <f t="shared" si="31"/>
        <v>0</v>
      </c>
      <c r="G195" s="9"/>
      <c r="H195" s="11"/>
      <c r="I195" s="10">
        <f t="shared" si="32"/>
        <v>0</v>
      </c>
      <c r="J195" s="9"/>
      <c r="K195" s="10"/>
      <c r="L195" s="9"/>
      <c r="M195" s="10"/>
      <c r="N195" s="9"/>
      <c r="O195" s="11"/>
      <c r="P195" s="11"/>
      <c r="Q195" s="10" t="e">
        <f t="shared" si="33"/>
        <v>#DIV/0!</v>
      </c>
      <c r="R195" s="9"/>
      <c r="S195" s="11"/>
      <c r="T195" s="10"/>
      <c r="U195" s="9"/>
      <c r="V195" s="11"/>
      <c r="W195" s="11"/>
      <c r="X195" s="10"/>
      <c r="Y195" s="9"/>
      <c r="Z195" s="8"/>
      <c r="AA195" s="7" t="s">
        <v>10</v>
      </c>
      <c r="AB195" s="158"/>
    </row>
    <row r="196" spans="2:28">
      <c r="B196" s="12">
        <v>46194</v>
      </c>
      <c r="C196" s="9"/>
      <c r="D196" s="11"/>
      <c r="E196" s="11"/>
      <c r="F196" s="10">
        <f t="shared" si="31"/>
        <v>0</v>
      </c>
      <c r="G196" s="9"/>
      <c r="H196" s="11"/>
      <c r="I196" s="10">
        <f t="shared" si="32"/>
        <v>0</v>
      </c>
      <c r="J196" s="9"/>
      <c r="K196" s="10"/>
      <c r="L196" s="9"/>
      <c r="M196" s="10"/>
      <c r="N196" s="9"/>
      <c r="O196" s="11"/>
      <c r="P196" s="11"/>
      <c r="Q196" s="10" t="e">
        <f t="shared" si="33"/>
        <v>#DIV/0!</v>
      </c>
      <c r="R196" s="9"/>
      <c r="S196" s="11"/>
      <c r="T196" s="10"/>
      <c r="U196" s="9"/>
      <c r="V196" s="11"/>
      <c r="W196" s="11"/>
      <c r="X196" s="10"/>
      <c r="Y196" s="9"/>
      <c r="Z196" s="8"/>
      <c r="AA196" s="7" t="s">
        <v>9</v>
      </c>
      <c r="AB196" s="158"/>
    </row>
    <row r="197" spans="2:28">
      <c r="B197" s="12">
        <v>46195</v>
      </c>
      <c r="C197" s="9"/>
      <c r="D197" s="11"/>
      <c r="E197" s="11"/>
      <c r="F197" s="10">
        <f t="shared" si="31"/>
        <v>0</v>
      </c>
      <c r="G197" s="9"/>
      <c r="H197" s="11"/>
      <c r="I197" s="10">
        <f t="shared" si="32"/>
        <v>0</v>
      </c>
      <c r="J197" s="9"/>
      <c r="K197" s="10"/>
      <c r="L197" s="9"/>
      <c r="M197" s="10"/>
      <c r="N197" s="9"/>
      <c r="O197" s="11"/>
      <c r="P197" s="11"/>
      <c r="Q197" s="10" t="e">
        <f t="shared" si="33"/>
        <v>#DIV/0!</v>
      </c>
      <c r="R197" s="9"/>
      <c r="S197" s="11"/>
      <c r="T197" s="10"/>
      <c r="U197" s="9"/>
      <c r="V197" s="11"/>
      <c r="W197" s="11"/>
      <c r="X197" s="10"/>
      <c r="Y197" s="9"/>
      <c r="Z197" s="8"/>
      <c r="AA197" s="7" t="s">
        <v>8</v>
      </c>
      <c r="AB197" s="158"/>
    </row>
    <row r="198" spans="2:28">
      <c r="B198" s="12">
        <v>46196</v>
      </c>
      <c r="C198" s="9"/>
      <c r="D198" s="11"/>
      <c r="E198" s="11"/>
      <c r="F198" s="10">
        <f t="shared" si="31"/>
        <v>0</v>
      </c>
      <c r="G198" s="9"/>
      <c r="H198" s="11"/>
      <c r="I198" s="10">
        <f t="shared" si="32"/>
        <v>0</v>
      </c>
      <c r="J198" s="9"/>
      <c r="K198" s="10"/>
      <c r="L198" s="9"/>
      <c r="M198" s="10"/>
      <c r="N198" s="9"/>
      <c r="O198" s="11"/>
      <c r="P198" s="11"/>
      <c r="Q198" s="10" t="e">
        <f t="shared" si="33"/>
        <v>#DIV/0!</v>
      </c>
      <c r="R198" s="9"/>
      <c r="S198" s="11"/>
      <c r="T198" s="10"/>
      <c r="U198" s="9"/>
      <c r="V198" s="11"/>
      <c r="W198" s="11"/>
      <c r="X198" s="10"/>
      <c r="Y198" s="9"/>
      <c r="Z198" s="8"/>
      <c r="AA198" s="7" t="s">
        <v>7</v>
      </c>
      <c r="AB198" s="158"/>
    </row>
    <row r="199" spans="2:28">
      <c r="B199" s="12">
        <v>46197</v>
      </c>
      <c r="C199" s="9"/>
      <c r="D199" s="11"/>
      <c r="E199" s="11"/>
      <c r="F199" s="10">
        <f t="shared" si="31"/>
        <v>0</v>
      </c>
      <c r="G199" s="9"/>
      <c r="H199" s="11"/>
      <c r="I199" s="10">
        <f t="shared" si="32"/>
        <v>0</v>
      </c>
      <c r="J199" s="9"/>
      <c r="K199" s="10"/>
      <c r="L199" s="9"/>
      <c r="M199" s="10"/>
      <c r="N199" s="9"/>
      <c r="O199" s="11"/>
      <c r="P199" s="11"/>
      <c r="Q199" s="10" t="e">
        <f t="shared" si="33"/>
        <v>#DIV/0!</v>
      </c>
      <c r="R199" s="9"/>
      <c r="S199" s="11"/>
      <c r="T199" s="10"/>
      <c r="U199" s="9"/>
      <c r="V199" s="11"/>
      <c r="W199" s="11"/>
      <c r="X199" s="10"/>
      <c r="Y199" s="9"/>
      <c r="Z199" s="8"/>
      <c r="AA199" s="7" t="s">
        <v>6</v>
      </c>
      <c r="AB199" s="158"/>
    </row>
    <row r="200" spans="2:28">
      <c r="B200" s="12">
        <v>46198</v>
      </c>
      <c r="C200" s="9"/>
      <c r="D200" s="11"/>
      <c r="E200" s="11"/>
      <c r="F200" s="10">
        <f t="shared" si="31"/>
        <v>0</v>
      </c>
      <c r="G200" s="9"/>
      <c r="H200" s="11"/>
      <c r="I200" s="10">
        <f t="shared" si="32"/>
        <v>0</v>
      </c>
      <c r="J200" s="9"/>
      <c r="K200" s="10"/>
      <c r="L200" s="9"/>
      <c r="M200" s="10"/>
      <c r="N200" s="9"/>
      <c r="O200" s="11"/>
      <c r="P200" s="11"/>
      <c r="Q200" s="10" t="e">
        <f t="shared" si="33"/>
        <v>#DIV/0!</v>
      </c>
      <c r="R200" s="9"/>
      <c r="S200" s="11"/>
      <c r="T200" s="10"/>
      <c r="U200" s="9"/>
      <c r="V200" s="11"/>
      <c r="W200" s="11"/>
      <c r="X200" s="10"/>
      <c r="Y200" s="9"/>
      <c r="Z200" s="8"/>
      <c r="AA200" s="7" t="s">
        <v>5</v>
      </c>
      <c r="AB200" s="158"/>
    </row>
    <row r="201" spans="2:28">
      <c r="B201" s="12">
        <v>46199</v>
      </c>
      <c r="C201" s="9"/>
      <c r="D201" s="11"/>
      <c r="E201" s="11"/>
      <c r="F201" s="10">
        <f t="shared" si="31"/>
        <v>0</v>
      </c>
      <c r="G201" s="9"/>
      <c r="H201" s="11"/>
      <c r="I201" s="10">
        <f t="shared" si="32"/>
        <v>0</v>
      </c>
      <c r="J201" s="9"/>
      <c r="K201" s="10"/>
      <c r="L201" s="9"/>
      <c r="M201" s="10"/>
      <c r="N201" s="9"/>
      <c r="O201" s="11"/>
      <c r="P201" s="11"/>
      <c r="Q201" s="10" t="e">
        <f t="shared" si="33"/>
        <v>#DIV/0!</v>
      </c>
      <c r="R201" s="9"/>
      <c r="S201" s="11"/>
      <c r="T201" s="10"/>
      <c r="U201" s="9"/>
      <c r="V201" s="11"/>
      <c r="W201" s="11"/>
      <c r="X201" s="10"/>
      <c r="Y201" s="9"/>
      <c r="Z201" s="8"/>
      <c r="AA201" s="7" t="s">
        <v>4</v>
      </c>
      <c r="AB201" s="158"/>
    </row>
    <row r="202" spans="2:28">
      <c r="B202" s="12">
        <v>46200</v>
      </c>
      <c r="C202" s="9"/>
      <c r="D202" s="11"/>
      <c r="E202" s="11"/>
      <c r="F202" s="10">
        <f t="shared" si="31"/>
        <v>0</v>
      </c>
      <c r="G202" s="9"/>
      <c r="H202" s="11"/>
      <c r="I202" s="10">
        <f t="shared" si="32"/>
        <v>0</v>
      </c>
      <c r="J202" s="9"/>
      <c r="K202" s="10"/>
      <c r="L202" s="9"/>
      <c r="M202" s="10"/>
      <c r="N202" s="9"/>
      <c r="O202" s="11"/>
      <c r="P202" s="11"/>
      <c r="Q202" s="10" t="e">
        <f t="shared" si="33"/>
        <v>#DIV/0!</v>
      </c>
      <c r="R202" s="9"/>
      <c r="S202" s="11"/>
      <c r="T202" s="10"/>
      <c r="U202" s="9"/>
      <c r="V202" s="11"/>
      <c r="W202" s="11"/>
      <c r="X202" s="10"/>
      <c r="Y202" s="9"/>
      <c r="Z202" s="8"/>
      <c r="AA202" s="7" t="s">
        <v>3</v>
      </c>
      <c r="AB202" s="158"/>
    </row>
    <row r="203" spans="2:28">
      <c r="B203" s="12">
        <v>46201</v>
      </c>
      <c r="C203" s="9"/>
      <c r="D203" s="11"/>
      <c r="E203" s="11"/>
      <c r="F203" s="10">
        <f t="shared" si="31"/>
        <v>0</v>
      </c>
      <c r="G203" s="9"/>
      <c r="H203" s="11"/>
      <c r="I203" s="10">
        <f t="shared" si="32"/>
        <v>0</v>
      </c>
      <c r="J203" s="9"/>
      <c r="K203" s="10"/>
      <c r="L203" s="9"/>
      <c r="M203" s="10"/>
      <c r="N203" s="9"/>
      <c r="O203" s="11"/>
      <c r="P203" s="11"/>
      <c r="Q203" s="10" t="e">
        <f t="shared" si="33"/>
        <v>#DIV/0!</v>
      </c>
      <c r="R203" s="9"/>
      <c r="S203" s="11"/>
      <c r="T203" s="10"/>
      <c r="U203" s="9"/>
      <c r="V203" s="11"/>
      <c r="W203" s="11"/>
      <c r="X203" s="10"/>
      <c r="Y203" s="9"/>
      <c r="Z203" s="8"/>
      <c r="AA203" s="7" t="s">
        <v>2</v>
      </c>
      <c r="AB203" s="158"/>
    </row>
    <row r="204" spans="2:28">
      <c r="B204" s="12">
        <v>46202</v>
      </c>
      <c r="C204" s="9"/>
      <c r="D204" s="11"/>
      <c r="E204" s="11"/>
      <c r="F204" s="10">
        <f t="shared" si="31"/>
        <v>0</v>
      </c>
      <c r="G204" s="9"/>
      <c r="H204" s="11"/>
      <c r="I204" s="10">
        <f t="shared" si="32"/>
        <v>0</v>
      </c>
      <c r="J204" s="9"/>
      <c r="K204" s="10"/>
      <c r="L204" s="9"/>
      <c r="M204" s="10"/>
      <c r="N204" s="9"/>
      <c r="O204" s="11"/>
      <c r="P204" s="11"/>
      <c r="Q204" s="10" t="e">
        <f t="shared" si="33"/>
        <v>#DIV/0!</v>
      </c>
      <c r="R204" s="9"/>
      <c r="S204" s="11"/>
      <c r="T204" s="10"/>
      <c r="U204" s="9"/>
      <c r="V204" s="11"/>
      <c r="W204" s="11"/>
      <c r="X204" s="10"/>
      <c r="Y204" s="9"/>
      <c r="Z204" s="8"/>
      <c r="AA204" s="7" t="s">
        <v>1</v>
      </c>
      <c r="AB204" s="158"/>
    </row>
    <row r="205" spans="2:28" ht="17.25" thickBot="1">
      <c r="B205" s="6">
        <v>46203</v>
      </c>
      <c r="C205" s="3"/>
      <c r="D205" s="5"/>
      <c r="E205" s="5"/>
      <c r="F205" s="4">
        <f t="shared" si="31"/>
        <v>0</v>
      </c>
      <c r="G205" s="3"/>
      <c r="H205" s="5"/>
      <c r="I205" s="4">
        <f t="shared" si="32"/>
        <v>0</v>
      </c>
      <c r="J205" s="3"/>
      <c r="K205" s="4"/>
      <c r="L205" s="3"/>
      <c r="M205" s="4"/>
      <c r="N205" s="3"/>
      <c r="O205" s="5"/>
      <c r="P205" s="5"/>
      <c r="Q205" s="4" t="e">
        <f t="shared" si="33"/>
        <v>#DIV/0!</v>
      </c>
      <c r="R205" s="3"/>
      <c r="S205" s="5"/>
      <c r="T205" s="4"/>
      <c r="U205" s="3"/>
      <c r="V205" s="5"/>
      <c r="W205" s="5"/>
      <c r="X205" s="4"/>
      <c r="Y205" s="3"/>
      <c r="Z205" s="2"/>
      <c r="AA205" s="1" t="s">
        <v>0</v>
      </c>
      <c r="AB205" s="158"/>
    </row>
    <row r="206" spans="2:28" ht="17.25" thickBot="1">
      <c r="I206" s="159"/>
    </row>
    <row r="207" spans="2:28" ht="27" customHeight="1" thickBot="1">
      <c r="B207" s="194"/>
      <c r="C207" s="196" t="s">
        <v>68</v>
      </c>
      <c r="D207" s="197"/>
      <c r="E207" s="197"/>
      <c r="F207" s="198"/>
      <c r="G207" s="199" t="s">
        <v>67</v>
      </c>
      <c r="H207" s="200"/>
      <c r="I207" s="201"/>
      <c r="J207" s="196" t="s">
        <v>66</v>
      </c>
      <c r="K207" s="198"/>
      <c r="L207" s="202" t="s">
        <v>65</v>
      </c>
      <c r="M207" s="198"/>
      <c r="N207" s="203" t="s">
        <v>64</v>
      </c>
      <c r="O207" s="204"/>
      <c r="P207" s="204"/>
      <c r="Q207" s="205"/>
      <c r="R207" s="196" t="s">
        <v>63</v>
      </c>
      <c r="S207" s="197"/>
      <c r="T207" s="198"/>
      <c r="U207" s="196" t="s">
        <v>62</v>
      </c>
      <c r="V207" s="197"/>
      <c r="W207" s="197"/>
      <c r="X207" s="198"/>
      <c r="Y207" s="196" t="s">
        <v>61</v>
      </c>
      <c r="Z207" s="197"/>
      <c r="AA207" s="192" t="s">
        <v>49</v>
      </c>
    </row>
    <row r="208" spans="2:28" ht="27" customHeight="1" thickBot="1">
      <c r="B208" s="195"/>
      <c r="C208" s="25" t="s">
        <v>48</v>
      </c>
      <c r="D208" s="27" t="s">
        <v>47</v>
      </c>
      <c r="E208" s="27" t="s">
        <v>46</v>
      </c>
      <c r="F208" s="26" t="s">
        <v>45</v>
      </c>
      <c r="G208" s="25" t="s">
        <v>43</v>
      </c>
      <c r="H208" s="27" t="s">
        <v>42</v>
      </c>
      <c r="I208" s="26" t="s">
        <v>44</v>
      </c>
      <c r="J208" s="25" t="s">
        <v>43</v>
      </c>
      <c r="K208" s="26" t="s">
        <v>42</v>
      </c>
      <c r="L208" s="25" t="s">
        <v>43</v>
      </c>
      <c r="M208" s="26" t="s">
        <v>42</v>
      </c>
      <c r="N208" s="31" t="s">
        <v>41</v>
      </c>
      <c r="O208" s="30" t="s">
        <v>40</v>
      </c>
      <c r="P208" s="30" t="s">
        <v>39</v>
      </c>
      <c r="Q208" s="29" t="s">
        <v>38</v>
      </c>
      <c r="R208" s="108" t="s">
        <v>143</v>
      </c>
      <c r="S208" s="107" t="s">
        <v>144</v>
      </c>
      <c r="T208" s="26" t="s">
        <v>37</v>
      </c>
      <c r="U208" s="25" t="s">
        <v>36</v>
      </c>
      <c r="V208" s="28" t="s">
        <v>35</v>
      </c>
      <c r="W208" s="27" t="s">
        <v>34</v>
      </c>
      <c r="X208" s="26" t="s">
        <v>33</v>
      </c>
      <c r="Y208" s="25" t="s">
        <v>32</v>
      </c>
      <c r="Z208" s="24" t="s">
        <v>31</v>
      </c>
      <c r="AA208" s="193"/>
    </row>
    <row r="209" spans="2:27" ht="21.75" thickBot="1">
      <c r="B209" s="23" t="s">
        <v>153</v>
      </c>
      <c r="C209" s="20">
        <f t="shared" ref="C209:E209" si="34">SUM(C210:C240)</f>
        <v>0</v>
      </c>
      <c r="D209" s="22">
        <f t="shared" si="34"/>
        <v>0</v>
      </c>
      <c r="E209" s="22">
        <f t="shared" si="34"/>
        <v>0</v>
      </c>
      <c r="F209" s="21">
        <f>SUM(F210:F240)</f>
        <v>0</v>
      </c>
      <c r="G209" s="20">
        <f t="shared" ref="G209:I209" si="35">SUM(G210:G240)</f>
        <v>0</v>
      </c>
      <c r="H209" s="22">
        <f t="shared" si="35"/>
        <v>0</v>
      </c>
      <c r="I209" s="21">
        <f t="shared" si="35"/>
        <v>0</v>
      </c>
      <c r="J209" s="20">
        <f>IFERROR(AVERAGE(J210:J240),0)</f>
        <v>0</v>
      </c>
      <c r="K209" s="21">
        <f>IFERROR(AVERAGE(K210:K240),0)</f>
        <v>0</v>
      </c>
      <c r="L209" s="20">
        <f>IFERROR(AVERAGE(L210:L240),0)</f>
        <v>0</v>
      </c>
      <c r="M209" s="21">
        <f>IFERROR(AVERAGE(M210:M240),0)</f>
        <v>0</v>
      </c>
      <c r="N209" s="20">
        <f>SUM(N210:N240)</f>
        <v>0</v>
      </c>
      <c r="O209" s="22">
        <f>SUM(O210:O240)</f>
        <v>0</v>
      </c>
      <c r="P209" s="22">
        <f>SUM(P210:P240)</f>
        <v>0</v>
      </c>
      <c r="Q209" s="21">
        <f>IFERROR(O209/N209*100,0)</f>
        <v>0</v>
      </c>
      <c r="R209" s="20">
        <f t="shared" ref="R209:Z209" si="36">SUM(R210:R240)</f>
        <v>0</v>
      </c>
      <c r="S209" s="22">
        <f t="shared" si="36"/>
        <v>0</v>
      </c>
      <c r="T209" s="21">
        <f t="shared" si="36"/>
        <v>0</v>
      </c>
      <c r="U209" s="20">
        <f t="shared" si="36"/>
        <v>0</v>
      </c>
      <c r="V209" s="22">
        <f t="shared" si="36"/>
        <v>0</v>
      </c>
      <c r="W209" s="22">
        <f t="shared" si="36"/>
        <v>0</v>
      </c>
      <c r="X209" s="21">
        <f t="shared" si="36"/>
        <v>0</v>
      </c>
      <c r="Y209" s="20">
        <f>SUM(Y210:Y240)</f>
        <v>0</v>
      </c>
      <c r="Z209" s="19">
        <f t="shared" si="36"/>
        <v>0</v>
      </c>
      <c r="AA209" s="18"/>
    </row>
    <row r="210" spans="2:27">
      <c r="B210" s="32">
        <v>46204</v>
      </c>
      <c r="C210" s="142"/>
      <c r="D210" s="143"/>
      <c r="E210" s="143"/>
      <c r="F210" s="144">
        <f t="shared" ref="F210:F227" si="37">SUM(C210:E210)</f>
        <v>0</v>
      </c>
      <c r="G210" s="142"/>
      <c r="H210" s="143"/>
      <c r="I210" s="144">
        <f t="shared" ref="I210:I226" si="38">SUM(G210:H210)</f>
        <v>0</v>
      </c>
      <c r="J210" s="142"/>
      <c r="K210" s="144"/>
      <c r="L210" s="142"/>
      <c r="M210" s="144"/>
      <c r="N210" s="142"/>
      <c r="O210" s="143"/>
      <c r="P210" s="143"/>
      <c r="Q210" s="144" t="e">
        <f t="shared" ref="Q210:Q216" si="39">O210/N210*100</f>
        <v>#DIV/0!</v>
      </c>
      <c r="R210" s="142"/>
      <c r="S210" s="143"/>
      <c r="T210" s="144"/>
      <c r="U210" s="142"/>
      <c r="V210" s="143"/>
      <c r="W210" s="143"/>
      <c r="X210" s="144"/>
      <c r="Y210" s="15"/>
      <c r="Z210" s="14"/>
      <c r="AA210" s="13" t="s">
        <v>29</v>
      </c>
    </row>
    <row r="211" spans="2:27">
      <c r="B211" s="12">
        <v>46205</v>
      </c>
      <c r="C211" s="9"/>
      <c r="D211" s="11"/>
      <c r="E211" s="11"/>
      <c r="F211" s="10">
        <f t="shared" si="37"/>
        <v>0</v>
      </c>
      <c r="G211" s="9"/>
      <c r="H211" s="11"/>
      <c r="I211" s="10">
        <f t="shared" si="38"/>
        <v>0</v>
      </c>
      <c r="J211" s="9"/>
      <c r="K211" s="10"/>
      <c r="L211" s="9"/>
      <c r="M211" s="10"/>
      <c r="N211" s="9"/>
      <c r="O211" s="11"/>
      <c r="P211" s="11"/>
      <c r="Q211" s="16" t="e">
        <f t="shared" si="39"/>
        <v>#DIV/0!</v>
      </c>
      <c r="R211" s="9"/>
      <c r="S211" s="11"/>
      <c r="T211" s="10"/>
      <c r="U211" s="9"/>
      <c r="V211" s="11"/>
      <c r="W211" s="11"/>
      <c r="X211" s="10"/>
      <c r="Y211" s="9"/>
      <c r="Z211" s="8"/>
      <c r="AA211" s="7" t="s">
        <v>28</v>
      </c>
    </row>
    <row r="212" spans="2:27">
      <c r="B212" s="12">
        <v>46206</v>
      </c>
      <c r="C212" s="9"/>
      <c r="D212" s="11"/>
      <c r="E212" s="11"/>
      <c r="F212" s="10">
        <f t="shared" si="37"/>
        <v>0</v>
      </c>
      <c r="G212" s="9"/>
      <c r="H212" s="11"/>
      <c r="I212" s="10">
        <f t="shared" si="38"/>
        <v>0</v>
      </c>
      <c r="J212" s="9"/>
      <c r="K212" s="10"/>
      <c r="L212" s="9"/>
      <c r="M212" s="10"/>
      <c r="N212" s="9"/>
      <c r="O212" s="11"/>
      <c r="P212" s="11"/>
      <c r="Q212" s="16" t="e">
        <f t="shared" si="39"/>
        <v>#DIV/0!</v>
      </c>
      <c r="R212" s="9"/>
      <c r="S212" s="11"/>
      <c r="T212" s="10"/>
      <c r="U212" s="9"/>
      <c r="V212" s="11"/>
      <c r="W212" s="11"/>
      <c r="X212" s="10"/>
      <c r="Y212" s="9"/>
      <c r="Z212" s="8"/>
      <c r="AA212" s="7" t="s">
        <v>27</v>
      </c>
    </row>
    <row r="213" spans="2:27">
      <c r="B213" s="12">
        <v>46207</v>
      </c>
      <c r="C213" s="9"/>
      <c r="D213" s="11"/>
      <c r="E213" s="11"/>
      <c r="F213" s="10">
        <f t="shared" si="37"/>
        <v>0</v>
      </c>
      <c r="G213" s="9"/>
      <c r="H213" s="11"/>
      <c r="I213" s="10">
        <f t="shared" si="38"/>
        <v>0</v>
      </c>
      <c r="J213" s="9"/>
      <c r="K213" s="10"/>
      <c r="L213" s="9"/>
      <c r="M213" s="10"/>
      <c r="N213" s="9"/>
      <c r="O213" s="11"/>
      <c r="P213" s="11"/>
      <c r="Q213" s="16" t="e">
        <f t="shared" si="39"/>
        <v>#DIV/0!</v>
      </c>
      <c r="R213" s="9"/>
      <c r="S213" s="11"/>
      <c r="T213" s="10"/>
      <c r="U213" s="9"/>
      <c r="V213" s="11"/>
      <c r="W213" s="11"/>
      <c r="X213" s="10"/>
      <c r="Y213" s="9"/>
      <c r="Z213" s="8"/>
      <c r="AA213" s="7" t="s">
        <v>26</v>
      </c>
    </row>
    <row r="214" spans="2:27">
      <c r="B214" s="12">
        <v>46208</v>
      </c>
      <c r="C214" s="9"/>
      <c r="D214" s="11"/>
      <c r="E214" s="11"/>
      <c r="F214" s="10">
        <f t="shared" si="37"/>
        <v>0</v>
      </c>
      <c r="G214" s="9"/>
      <c r="H214" s="11"/>
      <c r="I214" s="10">
        <f t="shared" si="38"/>
        <v>0</v>
      </c>
      <c r="J214" s="9"/>
      <c r="K214" s="10"/>
      <c r="L214" s="9"/>
      <c r="M214" s="10"/>
      <c r="N214" s="9"/>
      <c r="O214" s="11"/>
      <c r="P214" s="11"/>
      <c r="Q214" s="10" t="e">
        <f t="shared" si="39"/>
        <v>#DIV/0!</v>
      </c>
      <c r="R214" s="9"/>
      <c r="S214" s="11"/>
      <c r="T214" s="10"/>
      <c r="U214" s="9"/>
      <c r="V214" s="11"/>
      <c r="W214" s="11"/>
      <c r="X214" s="10"/>
      <c r="Y214" s="9"/>
      <c r="Z214" s="8"/>
      <c r="AA214" s="7" t="s">
        <v>25</v>
      </c>
    </row>
    <row r="215" spans="2:27">
      <c r="B215" s="12">
        <v>46209</v>
      </c>
      <c r="C215" s="9"/>
      <c r="D215" s="11"/>
      <c r="E215" s="11"/>
      <c r="F215" s="10">
        <f t="shared" si="37"/>
        <v>0</v>
      </c>
      <c r="G215" s="9"/>
      <c r="H215" s="11"/>
      <c r="I215" s="10">
        <f t="shared" si="38"/>
        <v>0</v>
      </c>
      <c r="J215" s="9"/>
      <c r="K215" s="10"/>
      <c r="L215" s="9"/>
      <c r="M215" s="10"/>
      <c r="N215" s="9"/>
      <c r="O215" s="11"/>
      <c r="P215" s="11"/>
      <c r="Q215" s="10" t="e">
        <f t="shared" si="39"/>
        <v>#DIV/0!</v>
      </c>
      <c r="R215" s="9"/>
      <c r="S215" s="11"/>
      <c r="T215" s="10"/>
      <c r="U215" s="9"/>
      <c r="V215" s="11"/>
      <c r="W215" s="11"/>
      <c r="X215" s="10"/>
      <c r="Y215" s="9"/>
      <c r="Z215" s="8"/>
      <c r="AA215" s="7" t="s">
        <v>24</v>
      </c>
    </row>
    <row r="216" spans="2:27">
      <c r="B216" s="12">
        <v>46210</v>
      </c>
      <c r="C216" s="9"/>
      <c r="D216" s="11"/>
      <c r="E216" s="11"/>
      <c r="F216" s="10">
        <f t="shared" si="37"/>
        <v>0</v>
      </c>
      <c r="G216" s="9"/>
      <c r="H216" s="11"/>
      <c r="I216" s="10">
        <f t="shared" si="38"/>
        <v>0</v>
      </c>
      <c r="J216" s="9"/>
      <c r="K216" s="10"/>
      <c r="L216" s="9"/>
      <c r="M216" s="10"/>
      <c r="N216" s="9"/>
      <c r="O216" s="11"/>
      <c r="P216" s="11"/>
      <c r="Q216" s="10" t="e">
        <f t="shared" si="39"/>
        <v>#DIV/0!</v>
      </c>
      <c r="R216" s="9"/>
      <c r="S216" s="11"/>
      <c r="T216" s="10"/>
      <c r="U216" s="9"/>
      <c r="V216" s="11"/>
      <c r="W216" s="11"/>
      <c r="X216" s="10"/>
      <c r="Y216" s="9"/>
      <c r="Z216" s="8"/>
      <c r="AA216" s="7" t="s">
        <v>23</v>
      </c>
    </row>
    <row r="217" spans="2:27">
      <c r="B217" s="12">
        <v>46211</v>
      </c>
      <c r="C217" s="9"/>
      <c r="D217" s="11"/>
      <c r="E217" s="11"/>
      <c r="F217" s="10">
        <f t="shared" si="37"/>
        <v>0</v>
      </c>
      <c r="G217" s="9"/>
      <c r="H217" s="11"/>
      <c r="I217" s="10">
        <f t="shared" si="38"/>
        <v>0</v>
      </c>
      <c r="J217" s="9"/>
      <c r="K217" s="10"/>
      <c r="L217" s="9"/>
      <c r="M217" s="10"/>
      <c r="N217" s="9"/>
      <c r="O217" s="11"/>
      <c r="P217" s="11"/>
      <c r="Q217" s="10" t="e">
        <f t="shared" ref="Q217:Q240" si="40">O217/N217*100</f>
        <v>#DIV/0!</v>
      </c>
      <c r="R217" s="9"/>
      <c r="S217" s="11"/>
      <c r="T217" s="10"/>
      <c r="U217" s="9"/>
      <c r="V217" s="11"/>
      <c r="W217" s="11"/>
      <c r="X217" s="10"/>
      <c r="Y217" s="9"/>
      <c r="Z217" s="8"/>
      <c r="AA217" s="7" t="s">
        <v>22</v>
      </c>
    </row>
    <row r="218" spans="2:27">
      <c r="B218" s="12">
        <v>46212</v>
      </c>
      <c r="C218" s="9"/>
      <c r="D218" s="11"/>
      <c r="E218" s="11"/>
      <c r="F218" s="10">
        <f t="shared" si="37"/>
        <v>0</v>
      </c>
      <c r="G218" s="9"/>
      <c r="H218" s="11"/>
      <c r="I218" s="10">
        <f t="shared" si="38"/>
        <v>0</v>
      </c>
      <c r="J218" s="9"/>
      <c r="K218" s="10"/>
      <c r="L218" s="9"/>
      <c r="M218" s="10"/>
      <c r="N218" s="9"/>
      <c r="O218" s="11"/>
      <c r="P218" s="11"/>
      <c r="Q218" s="10" t="e">
        <f t="shared" si="40"/>
        <v>#DIV/0!</v>
      </c>
      <c r="R218" s="9"/>
      <c r="S218" s="11"/>
      <c r="T218" s="10"/>
      <c r="U218" s="9"/>
      <c r="V218" s="11"/>
      <c r="W218" s="11"/>
      <c r="X218" s="10"/>
      <c r="Y218" s="9"/>
      <c r="Z218" s="8"/>
      <c r="AA218" s="7" t="s">
        <v>21</v>
      </c>
    </row>
    <row r="219" spans="2:27">
      <c r="B219" s="12">
        <v>46213</v>
      </c>
      <c r="C219" s="9"/>
      <c r="D219" s="11"/>
      <c r="E219" s="11"/>
      <c r="F219" s="10">
        <f t="shared" si="37"/>
        <v>0</v>
      </c>
      <c r="G219" s="9"/>
      <c r="H219" s="11"/>
      <c r="I219" s="10">
        <f t="shared" si="38"/>
        <v>0</v>
      </c>
      <c r="J219" s="9"/>
      <c r="K219" s="10"/>
      <c r="L219" s="9"/>
      <c r="M219" s="10"/>
      <c r="N219" s="9"/>
      <c r="O219" s="11"/>
      <c r="P219" s="11"/>
      <c r="Q219" s="10" t="e">
        <f t="shared" si="40"/>
        <v>#DIV/0!</v>
      </c>
      <c r="R219" s="9"/>
      <c r="S219" s="11"/>
      <c r="T219" s="10"/>
      <c r="U219" s="9"/>
      <c r="V219" s="11"/>
      <c r="W219" s="11"/>
      <c r="X219" s="10"/>
      <c r="Y219" s="9"/>
      <c r="Z219" s="8"/>
      <c r="AA219" s="7" t="s">
        <v>20</v>
      </c>
    </row>
    <row r="220" spans="2:27">
      <c r="B220" s="12">
        <v>46214</v>
      </c>
      <c r="C220" s="9"/>
      <c r="D220" s="11"/>
      <c r="E220" s="11"/>
      <c r="F220" s="10">
        <f t="shared" si="37"/>
        <v>0</v>
      </c>
      <c r="G220" s="9"/>
      <c r="H220" s="11"/>
      <c r="I220" s="10">
        <f t="shared" si="38"/>
        <v>0</v>
      </c>
      <c r="J220" s="9"/>
      <c r="K220" s="10"/>
      <c r="L220" s="9"/>
      <c r="M220" s="10"/>
      <c r="N220" s="9"/>
      <c r="O220" s="11"/>
      <c r="P220" s="11"/>
      <c r="Q220" s="10" t="e">
        <f t="shared" si="40"/>
        <v>#DIV/0!</v>
      </c>
      <c r="R220" s="9"/>
      <c r="S220" s="11"/>
      <c r="T220" s="10"/>
      <c r="U220" s="9"/>
      <c r="V220" s="11"/>
      <c r="W220" s="11"/>
      <c r="X220" s="10"/>
      <c r="Y220" s="9"/>
      <c r="Z220" s="8"/>
      <c r="AA220" s="7" t="s">
        <v>19</v>
      </c>
    </row>
    <row r="221" spans="2:27">
      <c r="B221" s="12">
        <v>46215</v>
      </c>
      <c r="C221" s="9"/>
      <c r="D221" s="11"/>
      <c r="E221" s="11"/>
      <c r="F221" s="10">
        <f t="shared" si="37"/>
        <v>0</v>
      </c>
      <c r="G221" s="9"/>
      <c r="H221" s="11"/>
      <c r="I221" s="10">
        <f t="shared" si="38"/>
        <v>0</v>
      </c>
      <c r="J221" s="9"/>
      <c r="K221" s="10"/>
      <c r="L221" s="9"/>
      <c r="M221" s="10"/>
      <c r="N221" s="9"/>
      <c r="O221" s="11"/>
      <c r="P221" s="11"/>
      <c r="Q221" s="10" t="e">
        <f t="shared" si="40"/>
        <v>#DIV/0!</v>
      </c>
      <c r="R221" s="9"/>
      <c r="S221" s="11"/>
      <c r="T221" s="10"/>
      <c r="U221" s="9"/>
      <c r="V221" s="11"/>
      <c r="W221" s="11"/>
      <c r="X221" s="10"/>
      <c r="Y221" s="9"/>
      <c r="Z221" s="8"/>
      <c r="AA221" s="7" t="s">
        <v>18</v>
      </c>
    </row>
    <row r="222" spans="2:27">
      <c r="B222" s="12">
        <v>46216</v>
      </c>
      <c r="C222" s="9"/>
      <c r="D222" s="11"/>
      <c r="E222" s="11"/>
      <c r="F222" s="10">
        <f t="shared" si="37"/>
        <v>0</v>
      </c>
      <c r="G222" s="9"/>
      <c r="H222" s="11"/>
      <c r="I222" s="10">
        <f t="shared" si="38"/>
        <v>0</v>
      </c>
      <c r="J222" s="9"/>
      <c r="K222" s="10"/>
      <c r="L222" s="9"/>
      <c r="M222" s="10"/>
      <c r="N222" s="9"/>
      <c r="O222" s="11"/>
      <c r="P222" s="11"/>
      <c r="Q222" s="10" t="e">
        <f t="shared" si="40"/>
        <v>#DIV/0!</v>
      </c>
      <c r="R222" s="9"/>
      <c r="S222" s="11"/>
      <c r="T222" s="10"/>
      <c r="U222" s="9"/>
      <c r="V222" s="11"/>
      <c r="W222" s="11"/>
      <c r="X222" s="10"/>
      <c r="Y222" s="9"/>
      <c r="Z222" s="8"/>
      <c r="AA222" s="7" t="s">
        <v>17</v>
      </c>
    </row>
    <row r="223" spans="2:27">
      <c r="B223" s="12">
        <v>46217</v>
      </c>
      <c r="C223" s="9"/>
      <c r="D223" s="11"/>
      <c r="E223" s="11"/>
      <c r="F223" s="10">
        <f t="shared" si="37"/>
        <v>0</v>
      </c>
      <c r="G223" s="9"/>
      <c r="H223" s="11"/>
      <c r="I223" s="10">
        <f t="shared" si="38"/>
        <v>0</v>
      </c>
      <c r="J223" s="9"/>
      <c r="K223" s="10"/>
      <c r="L223" s="9"/>
      <c r="M223" s="10"/>
      <c r="N223" s="9"/>
      <c r="O223" s="11"/>
      <c r="P223" s="11"/>
      <c r="Q223" s="10" t="e">
        <f t="shared" si="40"/>
        <v>#DIV/0!</v>
      </c>
      <c r="R223" s="9"/>
      <c r="S223" s="11"/>
      <c r="T223" s="10"/>
      <c r="U223" s="9"/>
      <c r="V223" s="11"/>
      <c r="W223" s="11"/>
      <c r="X223" s="10"/>
      <c r="Y223" s="9"/>
      <c r="Z223" s="8"/>
      <c r="AA223" s="7" t="s">
        <v>16</v>
      </c>
    </row>
    <row r="224" spans="2:27">
      <c r="B224" s="12">
        <v>46218</v>
      </c>
      <c r="C224" s="9"/>
      <c r="D224" s="11"/>
      <c r="E224" s="11"/>
      <c r="F224" s="10">
        <f t="shared" si="37"/>
        <v>0</v>
      </c>
      <c r="G224" s="9"/>
      <c r="H224" s="11"/>
      <c r="I224" s="10">
        <f t="shared" si="38"/>
        <v>0</v>
      </c>
      <c r="J224" s="9"/>
      <c r="K224" s="10"/>
      <c r="L224" s="9"/>
      <c r="M224" s="10"/>
      <c r="N224" s="9"/>
      <c r="O224" s="11"/>
      <c r="P224" s="11"/>
      <c r="Q224" s="10" t="e">
        <f t="shared" si="40"/>
        <v>#DIV/0!</v>
      </c>
      <c r="R224" s="9"/>
      <c r="S224" s="11"/>
      <c r="T224" s="10"/>
      <c r="U224" s="9"/>
      <c r="V224" s="11"/>
      <c r="W224" s="11"/>
      <c r="X224" s="10"/>
      <c r="Y224" s="9"/>
      <c r="Z224" s="8"/>
      <c r="AA224" s="7" t="s">
        <v>15</v>
      </c>
    </row>
    <row r="225" spans="2:27">
      <c r="B225" s="12">
        <v>46219</v>
      </c>
      <c r="C225" s="9"/>
      <c r="D225" s="11"/>
      <c r="E225" s="11"/>
      <c r="F225" s="10">
        <f t="shared" si="37"/>
        <v>0</v>
      </c>
      <c r="G225" s="9"/>
      <c r="H225" s="11"/>
      <c r="I225" s="10">
        <f t="shared" si="38"/>
        <v>0</v>
      </c>
      <c r="J225" s="9"/>
      <c r="K225" s="10"/>
      <c r="L225" s="9"/>
      <c r="M225" s="10"/>
      <c r="N225" s="9"/>
      <c r="O225" s="11"/>
      <c r="P225" s="11"/>
      <c r="Q225" s="10" t="e">
        <f t="shared" si="40"/>
        <v>#DIV/0!</v>
      </c>
      <c r="R225" s="9"/>
      <c r="S225" s="11"/>
      <c r="T225" s="10"/>
      <c r="U225" s="9"/>
      <c r="V225" s="11"/>
      <c r="W225" s="11"/>
      <c r="X225" s="10"/>
      <c r="Y225" s="9"/>
      <c r="Z225" s="8"/>
      <c r="AA225" s="7" t="s">
        <v>14</v>
      </c>
    </row>
    <row r="226" spans="2:27">
      <c r="B226" s="12">
        <v>46220</v>
      </c>
      <c r="C226" s="9"/>
      <c r="D226" s="11"/>
      <c r="E226" s="11"/>
      <c r="F226" s="10">
        <f t="shared" si="37"/>
        <v>0</v>
      </c>
      <c r="G226" s="9"/>
      <c r="H226" s="11"/>
      <c r="I226" s="10">
        <f t="shared" si="38"/>
        <v>0</v>
      </c>
      <c r="J226" s="9"/>
      <c r="K226" s="10"/>
      <c r="L226" s="9"/>
      <c r="M226" s="10"/>
      <c r="N226" s="9"/>
      <c r="O226" s="11"/>
      <c r="P226" s="11"/>
      <c r="Q226" s="10" t="e">
        <f t="shared" si="40"/>
        <v>#DIV/0!</v>
      </c>
      <c r="R226" s="9"/>
      <c r="S226" s="11"/>
      <c r="T226" s="10"/>
      <c r="U226" s="9"/>
      <c r="V226" s="11"/>
      <c r="W226" s="11"/>
      <c r="X226" s="10"/>
      <c r="Y226" s="9"/>
      <c r="Z226" s="8"/>
      <c r="AA226" s="7" t="s">
        <v>13</v>
      </c>
    </row>
    <row r="227" spans="2:27">
      <c r="B227" s="12">
        <v>46221</v>
      </c>
      <c r="C227" s="9"/>
      <c r="D227" s="11"/>
      <c r="E227" s="11"/>
      <c r="F227" s="10">
        <f t="shared" si="37"/>
        <v>0</v>
      </c>
      <c r="G227" s="9"/>
      <c r="H227" s="11"/>
      <c r="I227" s="10">
        <f>SUM(G227:H227)</f>
        <v>0</v>
      </c>
      <c r="J227" s="9"/>
      <c r="K227" s="10"/>
      <c r="L227" s="9"/>
      <c r="M227" s="10"/>
      <c r="N227" s="9"/>
      <c r="O227" s="11"/>
      <c r="P227" s="11"/>
      <c r="Q227" s="10" t="e">
        <f t="shared" si="40"/>
        <v>#DIV/0!</v>
      </c>
      <c r="R227" s="9"/>
      <c r="S227" s="11"/>
      <c r="T227" s="10"/>
      <c r="U227" s="9"/>
      <c r="V227" s="11"/>
      <c r="W227" s="11"/>
      <c r="X227" s="10"/>
      <c r="Y227" s="9"/>
      <c r="Z227" s="8"/>
      <c r="AA227" s="7" t="s">
        <v>12</v>
      </c>
    </row>
    <row r="228" spans="2:27">
      <c r="B228" s="12">
        <v>46222</v>
      </c>
      <c r="C228" s="9"/>
      <c r="D228" s="11"/>
      <c r="E228" s="11"/>
      <c r="F228" s="10">
        <f t="shared" ref="F228:F240" si="41">SUM(C228:E228)</f>
        <v>0</v>
      </c>
      <c r="G228" s="9"/>
      <c r="H228" s="11"/>
      <c r="I228" s="10">
        <f t="shared" ref="I228:I240" si="42">SUM(G228:H228)</f>
        <v>0</v>
      </c>
      <c r="J228" s="9"/>
      <c r="K228" s="10"/>
      <c r="L228" s="9"/>
      <c r="M228" s="10"/>
      <c r="N228" s="9"/>
      <c r="O228" s="11"/>
      <c r="P228" s="11"/>
      <c r="Q228" s="10" t="e">
        <f t="shared" si="40"/>
        <v>#DIV/0!</v>
      </c>
      <c r="R228" s="9"/>
      <c r="S228" s="11"/>
      <c r="T228" s="10"/>
      <c r="U228" s="9"/>
      <c r="V228" s="11"/>
      <c r="W228" s="11"/>
      <c r="X228" s="10"/>
      <c r="Y228" s="9"/>
      <c r="Z228" s="8"/>
      <c r="AA228" s="7" t="s">
        <v>11</v>
      </c>
    </row>
    <row r="229" spans="2:27">
      <c r="B229" s="12">
        <v>46223</v>
      </c>
      <c r="C229" s="9"/>
      <c r="D229" s="11"/>
      <c r="E229" s="11"/>
      <c r="F229" s="10">
        <f t="shared" si="41"/>
        <v>0</v>
      </c>
      <c r="G229" s="9"/>
      <c r="H229" s="11"/>
      <c r="I229" s="10">
        <f t="shared" si="42"/>
        <v>0</v>
      </c>
      <c r="J229" s="9"/>
      <c r="K229" s="10"/>
      <c r="L229" s="9"/>
      <c r="M229" s="10"/>
      <c r="N229" s="9"/>
      <c r="O229" s="11"/>
      <c r="P229" s="11"/>
      <c r="Q229" s="10" t="e">
        <f t="shared" si="40"/>
        <v>#DIV/0!</v>
      </c>
      <c r="R229" s="9"/>
      <c r="S229" s="11"/>
      <c r="T229" s="10"/>
      <c r="U229" s="9"/>
      <c r="V229" s="11"/>
      <c r="W229" s="11"/>
      <c r="X229" s="10"/>
      <c r="Y229" s="9"/>
      <c r="Z229" s="8"/>
      <c r="AA229" s="7" t="s">
        <v>10</v>
      </c>
    </row>
    <row r="230" spans="2:27">
      <c r="B230" s="12">
        <v>46224</v>
      </c>
      <c r="C230" s="9"/>
      <c r="D230" s="11"/>
      <c r="E230" s="11"/>
      <c r="F230" s="10">
        <f t="shared" si="41"/>
        <v>0</v>
      </c>
      <c r="G230" s="9"/>
      <c r="H230" s="11"/>
      <c r="I230" s="10">
        <f t="shared" si="42"/>
        <v>0</v>
      </c>
      <c r="J230" s="9"/>
      <c r="K230" s="10"/>
      <c r="L230" s="9"/>
      <c r="M230" s="10"/>
      <c r="N230" s="9"/>
      <c r="O230" s="11"/>
      <c r="P230" s="11"/>
      <c r="Q230" s="10" t="e">
        <f t="shared" si="40"/>
        <v>#DIV/0!</v>
      </c>
      <c r="R230" s="9"/>
      <c r="S230" s="11"/>
      <c r="T230" s="10"/>
      <c r="U230" s="9"/>
      <c r="V230" s="11"/>
      <c r="W230" s="11"/>
      <c r="X230" s="10"/>
      <c r="Y230" s="9"/>
      <c r="Z230" s="8"/>
      <c r="AA230" s="7" t="s">
        <v>9</v>
      </c>
    </row>
    <row r="231" spans="2:27">
      <c r="B231" s="12">
        <v>46225</v>
      </c>
      <c r="C231" s="9"/>
      <c r="D231" s="11"/>
      <c r="E231" s="11"/>
      <c r="F231" s="10">
        <f t="shared" si="41"/>
        <v>0</v>
      </c>
      <c r="G231" s="9"/>
      <c r="H231" s="11"/>
      <c r="I231" s="10">
        <f t="shared" si="42"/>
        <v>0</v>
      </c>
      <c r="J231" s="9"/>
      <c r="K231" s="10"/>
      <c r="L231" s="9"/>
      <c r="M231" s="10"/>
      <c r="N231" s="9"/>
      <c r="O231" s="11"/>
      <c r="P231" s="11"/>
      <c r="Q231" s="10" t="e">
        <f t="shared" si="40"/>
        <v>#DIV/0!</v>
      </c>
      <c r="R231" s="9"/>
      <c r="S231" s="11"/>
      <c r="T231" s="10"/>
      <c r="U231" s="9"/>
      <c r="V231" s="11"/>
      <c r="W231" s="11"/>
      <c r="X231" s="10"/>
      <c r="Y231" s="9"/>
      <c r="Z231" s="8"/>
      <c r="AA231" s="7" t="s">
        <v>8</v>
      </c>
    </row>
    <row r="232" spans="2:27">
      <c r="B232" s="12">
        <v>46226</v>
      </c>
      <c r="C232" s="9"/>
      <c r="D232" s="11"/>
      <c r="E232" s="11"/>
      <c r="F232" s="10">
        <f t="shared" si="41"/>
        <v>0</v>
      </c>
      <c r="G232" s="9"/>
      <c r="H232" s="11"/>
      <c r="I232" s="10">
        <f t="shared" si="42"/>
        <v>0</v>
      </c>
      <c r="J232" s="9"/>
      <c r="K232" s="10"/>
      <c r="L232" s="9"/>
      <c r="M232" s="10"/>
      <c r="N232" s="9"/>
      <c r="O232" s="11"/>
      <c r="P232" s="11"/>
      <c r="Q232" s="10" t="e">
        <f t="shared" si="40"/>
        <v>#DIV/0!</v>
      </c>
      <c r="R232" s="9"/>
      <c r="S232" s="11"/>
      <c r="T232" s="10"/>
      <c r="U232" s="9"/>
      <c r="V232" s="11"/>
      <c r="W232" s="11"/>
      <c r="X232" s="10"/>
      <c r="Y232" s="9"/>
      <c r="Z232" s="8"/>
      <c r="AA232" s="7" t="s">
        <v>7</v>
      </c>
    </row>
    <row r="233" spans="2:27">
      <c r="B233" s="12">
        <v>46227</v>
      </c>
      <c r="C233" s="9"/>
      <c r="D233" s="11"/>
      <c r="E233" s="11"/>
      <c r="F233" s="10">
        <f t="shared" si="41"/>
        <v>0</v>
      </c>
      <c r="G233" s="9"/>
      <c r="H233" s="11"/>
      <c r="I233" s="10">
        <f t="shared" si="42"/>
        <v>0</v>
      </c>
      <c r="J233" s="9"/>
      <c r="K233" s="10"/>
      <c r="L233" s="9"/>
      <c r="M233" s="10"/>
      <c r="N233" s="9"/>
      <c r="O233" s="11"/>
      <c r="P233" s="11"/>
      <c r="Q233" s="10" t="e">
        <f t="shared" si="40"/>
        <v>#DIV/0!</v>
      </c>
      <c r="R233" s="9"/>
      <c r="S233" s="11"/>
      <c r="T233" s="10"/>
      <c r="U233" s="9"/>
      <c r="V233" s="11"/>
      <c r="W233" s="11"/>
      <c r="X233" s="10"/>
      <c r="Y233" s="9"/>
      <c r="Z233" s="8"/>
      <c r="AA233" s="7" t="s">
        <v>6</v>
      </c>
    </row>
    <row r="234" spans="2:27">
      <c r="B234" s="12">
        <v>46228</v>
      </c>
      <c r="C234" s="9"/>
      <c r="D234" s="11"/>
      <c r="E234" s="11"/>
      <c r="F234" s="10">
        <f t="shared" si="41"/>
        <v>0</v>
      </c>
      <c r="G234" s="9"/>
      <c r="H234" s="11"/>
      <c r="I234" s="10">
        <f t="shared" si="42"/>
        <v>0</v>
      </c>
      <c r="J234" s="9"/>
      <c r="K234" s="10"/>
      <c r="L234" s="9"/>
      <c r="M234" s="10"/>
      <c r="N234" s="9"/>
      <c r="O234" s="11"/>
      <c r="P234" s="11"/>
      <c r="Q234" s="10" t="e">
        <f t="shared" si="40"/>
        <v>#DIV/0!</v>
      </c>
      <c r="R234" s="9"/>
      <c r="S234" s="11"/>
      <c r="T234" s="10"/>
      <c r="U234" s="9"/>
      <c r="V234" s="11"/>
      <c r="W234" s="11"/>
      <c r="X234" s="10"/>
      <c r="Y234" s="9"/>
      <c r="Z234" s="8"/>
      <c r="AA234" s="7" t="s">
        <v>5</v>
      </c>
    </row>
    <row r="235" spans="2:27">
      <c r="B235" s="12">
        <v>46229</v>
      </c>
      <c r="C235" s="9"/>
      <c r="D235" s="11"/>
      <c r="E235" s="11"/>
      <c r="F235" s="10">
        <f t="shared" si="41"/>
        <v>0</v>
      </c>
      <c r="G235" s="9"/>
      <c r="H235" s="11"/>
      <c r="I235" s="10">
        <f t="shared" si="42"/>
        <v>0</v>
      </c>
      <c r="J235" s="9"/>
      <c r="K235" s="10"/>
      <c r="L235" s="9"/>
      <c r="M235" s="10"/>
      <c r="N235" s="9"/>
      <c r="O235" s="11"/>
      <c r="P235" s="11"/>
      <c r="Q235" s="10" t="e">
        <f t="shared" si="40"/>
        <v>#DIV/0!</v>
      </c>
      <c r="R235" s="9"/>
      <c r="S235" s="11"/>
      <c r="T235" s="10"/>
      <c r="U235" s="9"/>
      <c r="V235" s="11"/>
      <c r="W235" s="11"/>
      <c r="X235" s="10"/>
      <c r="Y235" s="9"/>
      <c r="Z235" s="8"/>
      <c r="AA235" s="7" t="s">
        <v>4</v>
      </c>
    </row>
    <row r="236" spans="2:27">
      <c r="B236" s="12">
        <v>46230</v>
      </c>
      <c r="C236" s="9"/>
      <c r="D236" s="11"/>
      <c r="E236" s="11"/>
      <c r="F236" s="10">
        <f t="shared" si="41"/>
        <v>0</v>
      </c>
      <c r="G236" s="9"/>
      <c r="H236" s="11"/>
      <c r="I236" s="10">
        <f t="shared" si="42"/>
        <v>0</v>
      </c>
      <c r="J236" s="9"/>
      <c r="K236" s="10"/>
      <c r="L236" s="9"/>
      <c r="M236" s="10"/>
      <c r="N236" s="9"/>
      <c r="O236" s="11"/>
      <c r="P236" s="11"/>
      <c r="Q236" s="10" t="e">
        <f t="shared" si="40"/>
        <v>#DIV/0!</v>
      </c>
      <c r="R236" s="9"/>
      <c r="S236" s="11"/>
      <c r="T236" s="10"/>
      <c r="U236" s="9"/>
      <c r="V236" s="11"/>
      <c r="W236" s="11"/>
      <c r="X236" s="10"/>
      <c r="Y236" s="9"/>
      <c r="Z236" s="8"/>
      <c r="AA236" s="7" t="s">
        <v>3</v>
      </c>
    </row>
    <row r="237" spans="2:27">
      <c r="B237" s="12">
        <v>46231</v>
      </c>
      <c r="C237" s="9"/>
      <c r="D237" s="11"/>
      <c r="E237" s="11"/>
      <c r="F237" s="10">
        <f t="shared" si="41"/>
        <v>0</v>
      </c>
      <c r="G237" s="9"/>
      <c r="H237" s="11"/>
      <c r="I237" s="10">
        <f t="shared" si="42"/>
        <v>0</v>
      </c>
      <c r="J237" s="9"/>
      <c r="K237" s="10"/>
      <c r="L237" s="9"/>
      <c r="M237" s="10"/>
      <c r="N237" s="9"/>
      <c r="O237" s="11"/>
      <c r="P237" s="11"/>
      <c r="Q237" s="10" t="e">
        <f t="shared" si="40"/>
        <v>#DIV/0!</v>
      </c>
      <c r="R237" s="9"/>
      <c r="S237" s="11"/>
      <c r="T237" s="10"/>
      <c r="U237" s="9"/>
      <c r="V237" s="11"/>
      <c r="W237" s="11"/>
      <c r="X237" s="10"/>
      <c r="Y237" s="9"/>
      <c r="Z237" s="8"/>
      <c r="AA237" s="7" t="s">
        <v>2</v>
      </c>
    </row>
    <row r="238" spans="2:27">
      <c r="B238" s="12">
        <v>46232</v>
      </c>
      <c r="C238" s="9"/>
      <c r="D238" s="11"/>
      <c r="E238" s="11"/>
      <c r="F238" s="10">
        <f t="shared" si="41"/>
        <v>0</v>
      </c>
      <c r="G238" s="9"/>
      <c r="H238" s="11"/>
      <c r="I238" s="10">
        <f t="shared" si="42"/>
        <v>0</v>
      </c>
      <c r="J238" s="9"/>
      <c r="K238" s="10"/>
      <c r="L238" s="9"/>
      <c r="M238" s="10"/>
      <c r="N238" s="9"/>
      <c r="O238" s="11"/>
      <c r="P238" s="11"/>
      <c r="Q238" s="10" t="e">
        <f t="shared" si="40"/>
        <v>#DIV/0!</v>
      </c>
      <c r="R238" s="9"/>
      <c r="S238" s="11"/>
      <c r="T238" s="10"/>
      <c r="U238" s="9"/>
      <c r="V238" s="11"/>
      <c r="W238" s="11"/>
      <c r="X238" s="10"/>
      <c r="Y238" s="9"/>
      <c r="Z238" s="8"/>
      <c r="AA238" s="7" t="s">
        <v>1</v>
      </c>
    </row>
    <row r="239" spans="2:27">
      <c r="B239" s="12">
        <v>46233</v>
      </c>
      <c r="C239" s="9"/>
      <c r="D239" s="11"/>
      <c r="E239" s="11"/>
      <c r="F239" s="10">
        <f t="shared" si="41"/>
        <v>0</v>
      </c>
      <c r="G239" s="9"/>
      <c r="H239" s="11"/>
      <c r="I239" s="10">
        <f t="shared" si="42"/>
        <v>0</v>
      </c>
      <c r="J239" s="9"/>
      <c r="K239" s="10"/>
      <c r="L239" s="9"/>
      <c r="M239" s="10"/>
      <c r="N239" s="9"/>
      <c r="O239" s="11"/>
      <c r="P239" s="11"/>
      <c r="Q239" s="10" t="e">
        <f t="shared" si="40"/>
        <v>#DIV/0!</v>
      </c>
      <c r="R239" s="9"/>
      <c r="S239" s="11"/>
      <c r="T239" s="10"/>
      <c r="U239" s="9"/>
      <c r="V239" s="11"/>
      <c r="W239" s="11"/>
      <c r="X239" s="10"/>
      <c r="Y239" s="9"/>
      <c r="Z239" s="8"/>
      <c r="AA239" s="7" t="s">
        <v>59</v>
      </c>
    </row>
    <row r="240" spans="2:27" ht="17.25" thickBot="1">
      <c r="B240" s="6">
        <v>46234</v>
      </c>
      <c r="C240" s="3"/>
      <c r="D240" s="5"/>
      <c r="E240" s="5"/>
      <c r="F240" s="4">
        <f t="shared" si="41"/>
        <v>0</v>
      </c>
      <c r="G240" s="3"/>
      <c r="H240" s="5"/>
      <c r="I240" s="4">
        <f t="shared" si="42"/>
        <v>0</v>
      </c>
      <c r="J240" s="3"/>
      <c r="K240" s="4"/>
      <c r="L240" s="3"/>
      <c r="M240" s="4"/>
      <c r="N240" s="3"/>
      <c r="O240" s="5"/>
      <c r="P240" s="5"/>
      <c r="Q240" s="4" t="e">
        <f t="shared" si="40"/>
        <v>#DIV/0!</v>
      </c>
      <c r="R240" s="3"/>
      <c r="S240" s="5"/>
      <c r="T240" s="4"/>
      <c r="U240" s="3"/>
      <c r="V240" s="5"/>
      <c r="W240" s="5"/>
      <c r="X240" s="4"/>
      <c r="Y240" s="3"/>
      <c r="Z240" s="2"/>
      <c r="AA240" s="1" t="s">
        <v>58</v>
      </c>
    </row>
    <row r="241" spans="2:27" ht="17.25" thickBot="1">
      <c r="R241" s="159"/>
    </row>
    <row r="242" spans="2:27" ht="21.75" thickBot="1">
      <c r="B242" s="194"/>
      <c r="C242" s="196" t="s">
        <v>68</v>
      </c>
      <c r="D242" s="197"/>
      <c r="E242" s="197"/>
      <c r="F242" s="198"/>
      <c r="G242" s="199" t="s">
        <v>67</v>
      </c>
      <c r="H242" s="200"/>
      <c r="I242" s="201"/>
      <c r="J242" s="196" t="s">
        <v>66</v>
      </c>
      <c r="K242" s="198"/>
      <c r="L242" s="202" t="s">
        <v>65</v>
      </c>
      <c r="M242" s="198"/>
      <c r="N242" s="203" t="s">
        <v>64</v>
      </c>
      <c r="O242" s="204"/>
      <c r="P242" s="204"/>
      <c r="Q242" s="205"/>
      <c r="R242" s="196" t="s">
        <v>63</v>
      </c>
      <c r="S242" s="197"/>
      <c r="T242" s="198"/>
      <c r="U242" s="196" t="s">
        <v>62</v>
      </c>
      <c r="V242" s="197"/>
      <c r="W242" s="197"/>
      <c r="X242" s="198"/>
      <c r="Y242" s="196" t="s">
        <v>61</v>
      </c>
      <c r="Z242" s="197"/>
      <c r="AA242" s="192" t="s">
        <v>49</v>
      </c>
    </row>
    <row r="243" spans="2:27" ht="20.25" thickBot="1">
      <c r="B243" s="195"/>
      <c r="C243" s="25" t="s">
        <v>48</v>
      </c>
      <c r="D243" s="27" t="s">
        <v>47</v>
      </c>
      <c r="E243" s="27" t="s">
        <v>46</v>
      </c>
      <c r="F243" s="26" t="s">
        <v>45</v>
      </c>
      <c r="G243" s="25" t="s">
        <v>43</v>
      </c>
      <c r="H243" s="27" t="s">
        <v>42</v>
      </c>
      <c r="I243" s="26" t="s">
        <v>44</v>
      </c>
      <c r="J243" s="25" t="s">
        <v>43</v>
      </c>
      <c r="K243" s="26" t="s">
        <v>42</v>
      </c>
      <c r="L243" s="25" t="s">
        <v>43</v>
      </c>
      <c r="M243" s="26" t="s">
        <v>42</v>
      </c>
      <c r="N243" s="31" t="s">
        <v>41</v>
      </c>
      <c r="O243" s="30" t="s">
        <v>40</v>
      </c>
      <c r="P243" s="30" t="s">
        <v>39</v>
      </c>
      <c r="Q243" s="29" t="s">
        <v>38</v>
      </c>
      <c r="R243" s="108" t="s">
        <v>143</v>
      </c>
      <c r="S243" s="107" t="s">
        <v>144</v>
      </c>
      <c r="T243" s="26" t="s">
        <v>37</v>
      </c>
      <c r="U243" s="25" t="s">
        <v>36</v>
      </c>
      <c r="V243" s="28" t="s">
        <v>35</v>
      </c>
      <c r="W243" s="27" t="s">
        <v>34</v>
      </c>
      <c r="X243" s="26" t="s">
        <v>33</v>
      </c>
      <c r="Y243" s="25" t="s">
        <v>32</v>
      </c>
      <c r="Z243" s="24" t="s">
        <v>31</v>
      </c>
      <c r="AA243" s="193"/>
    </row>
    <row r="244" spans="2:27" ht="21.75" thickBot="1">
      <c r="B244" s="23" t="s">
        <v>155</v>
      </c>
      <c r="C244" s="20">
        <f t="shared" ref="C244:E244" si="43">SUM(C245:C275)</f>
        <v>0</v>
      </c>
      <c r="D244" s="22">
        <f t="shared" si="43"/>
        <v>0</v>
      </c>
      <c r="E244" s="22">
        <f t="shared" si="43"/>
        <v>0</v>
      </c>
      <c r="F244" s="21">
        <f>SUM(F245:F275)</f>
        <v>0</v>
      </c>
      <c r="G244" s="20">
        <f t="shared" ref="G244:I244" si="44">SUM(G245:G275)</f>
        <v>0</v>
      </c>
      <c r="H244" s="22">
        <f t="shared" si="44"/>
        <v>0</v>
      </c>
      <c r="I244" s="21">
        <f t="shared" si="44"/>
        <v>0</v>
      </c>
      <c r="J244" s="20">
        <f>IFERROR(AVERAGE(J245:J275),0)</f>
        <v>0</v>
      </c>
      <c r="K244" s="21">
        <f>IFERROR(AVERAGE(K245:K275),0)</f>
        <v>0</v>
      </c>
      <c r="L244" s="20">
        <f>IFERROR(AVERAGE(L245:L275),0)</f>
        <v>0</v>
      </c>
      <c r="M244" s="21">
        <f>IFERROR(AVERAGE(M245:M275),0)</f>
        <v>0</v>
      </c>
      <c r="N244" s="20">
        <f>SUM(N245:N275)</f>
        <v>0</v>
      </c>
      <c r="O244" s="22">
        <f>SUM(O245:O275)</f>
        <v>0</v>
      </c>
      <c r="P244" s="22">
        <f>SUM(P245:P275)</f>
        <v>0</v>
      </c>
      <c r="Q244" s="21">
        <f t="shared" ref="Q244:Q275" si="45">IFERROR(O244/N244*100,0)</f>
        <v>0</v>
      </c>
      <c r="R244" s="20">
        <f t="shared" ref="R244:X244" si="46">SUM(R245:R275)</f>
        <v>0</v>
      </c>
      <c r="S244" s="22">
        <f t="shared" si="46"/>
        <v>0</v>
      </c>
      <c r="T244" s="21">
        <f t="shared" si="46"/>
        <v>0</v>
      </c>
      <c r="U244" s="20">
        <f t="shared" si="46"/>
        <v>0</v>
      </c>
      <c r="V244" s="22">
        <f t="shared" si="46"/>
        <v>0</v>
      </c>
      <c r="W244" s="22">
        <f t="shared" si="46"/>
        <v>0</v>
      </c>
      <c r="X244" s="21">
        <f t="shared" si="46"/>
        <v>0</v>
      </c>
      <c r="Y244" s="20">
        <f>SUM(Y245:Y275)</f>
        <v>0</v>
      </c>
      <c r="Z244" s="19">
        <f t="shared" ref="Z244" si="47">SUM(Z245:Z275)</f>
        <v>0</v>
      </c>
      <c r="AA244" s="18"/>
    </row>
    <row r="245" spans="2:27">
      <c r="B245" s="32">
        <v>46235</v>
      </c>
      <c r="C245" s="142"/>
      <c r="D245" s="143"/>
      <c r="E245" s="143"/>
      <c r="F245" s="144">
        <f>SUM(C245:E245)</f>
        <v>0</v>
      </c>
      <c r="G245" s="142"/>
      <c r="H245" s="143"/>
      <c r="I245" s="144">
        <f>SUM(G245:H245)</f>
        <v>0</v>
      </c>
      <c r="J245" s="142"/>
      <c r="K245" s="144"/>
      <c r="L245" s="142"/>
      <c r="M245" s="144"/>
      <c r="N245" s="142"/>
      <c r="O245" s="143"/>
      <c r="P245" s="143"/>
      <c r="Q245" s="144">
        <f t="shared" si="45"/>
        <v>0</v>
      </c>
      <c r="R245" s="142"/>
      <c r="S245" s="143"/>
      <c r="T245" s="144"/>
      <c r="U245" s="142"/>
      <c r="V245" s="143"/>
      <c r="W245" s="143"/>
      <c r="X245" s="144"/>
      <c r="Y245" s="142"/>
      <c r="Z245" s="148"/>
      <c r="AA245" s="13" t="s">
        <v>176</v>
      </c>
    </row>
    <row r="246" spans="2:27">
      <c r="B246" s="12">
        <v>46236</v>
      </c>
      <c r="C246" s="9"/>
      <c r="D246" s="11"/>
      <c r="E246" s="11"/>
      <c r="F246" s="16">
        <f t="shared" ref="F246:F275" si="48">SUM(C246:E246)</f>
        <v>0</v>
      </c>
      <c r="G246" s="9"/>
      <c r="H246" s="11"/>
      <c r="I246" s="16">
        <f t="shared" ref="I246:I275" si="49">SUM(G246:H246)</f>
        <v>0</v>
      </c>
      <c r="J246" s="9"/>
      <c r="K246" s="10"/>
      <c r="L246" s="9"/>
      <c r="M246" s="10"/>
      <c r="N246" s="9"/>
      <c r="O246" s="11"/>
      <c r="P246" s="11"/>
      <c r="Q246" s="16">
        <f t="shared" si="45"/>
        <v>0</v>
      </c>
      <c r="R246" s="9"/>
      <c r="S246" s="11"/>
      <c r="T246" s="10"/>
      <c r="U246" s="9"/>
      <c r="V246" s="11"/>
      <c r="W246" s="11"/>
      <c r="X246" s="10"/>
      <c r="Y246" s="9"/>
      <c r="Z246" s="8"/>
      <c r="AA246" s="102" t="s">
        <v>177</v>
      </c>
    </row>
    <row r="247" spans="2:27">
      <c r="B247" s="12">
        <v>46237</v>
      </c>
      <c r="C247" s="9"/>
      <c r="D247" s="11"/>
      <c r="E247" s="11"/>
      <c r="F247" s="16">
        <f>SUM(C247:E247)</f>
        <v>0</v>
      </c>
      <c r="G247" s="9"/>
      <c r="H247" s="11"/>
      <c r="I247" s="16">
        <f t="shared" si="49"/>
        <v>0</v>
      </c>
      <c r="J247" s="9"/>
      <c r="K247" s="10"/>
      <c r="L247" s="9"/>
      <c r="M247" s="10"/>
      <c r="N247" s="9"/>
      <c r="O247" s="11"/>
      <c r="P247" s="11"/>
      <c r="Q247" s="16">
        <f t="shared" si="45"/>
        <v>0</v>
      </c>
      <c r="R247" s="9"/>
      <c r="S247" s="11"/>
      <c r="T247" s="10"/>
      <c r="U247" s="9"/>
      <c r="V247" s="11"/>
      <c r="W247" s="11"/>
      <c r="X247" s="10"/>
      <c r="Y247" s="9"/>
      <c r="Z247" s="8"/>
      <c r="AA247" s="13" t="s">
        <v>178</v>
      </c>
    </row>
    <row r="248" spans="2:27">
      <c r="B248" s="12">
        <v>46238</v>
      </c>
      <c r="C248" s="9"/>
      <c r="D248" s="11"/>
      <c r="E248" s="11"/>
      <c r="F248" s="16">
        <f t="shared" si="48"/>
        <v>0</v>
      </c>
      <c r="G248" s="9"/>
      <c r="H248" s="11"/>
      <c r="I248" s="16">
        <f>SUM(G248:H248)</f>
        <v>0</v>
      </c>
      <c r="J248" s="9"/>
      <c r="K248" s="10"/>
      <c r="L248" s="9"/>
      <c r="M248" s="10"/>
      <c r="N248" s="9"/>
      <c r="O248" s="11"/>
      <c r="P248" s="11"/>
      <c r="Q248" s="16">
        <f t="shared" si="45"/>
        <v>0</v>
      </c>
      <c r="R248" s="9"/>
      <c r="S248" s="11"/>
      <c r="T248" s="10"/>
      <c r="U248" s="9"/>
      <c r="V248" s="11"/>
      <c r="W248" s="11"/>
      <c r="X248" s="10"/>
      <c r="Y248" s="9"/>
      <c r="Z248" s="8"/>
      <c r="AA248" s="102" t="s">
        <v>179</v>
      </c>
    </row>
    <row r="249" spans="2:27">
      <c r="B249" s="12">
        <v>46239</v>
      </c>
      <c r="C249" s="9"/>
      <c r="D249" s="11"/>
      <c r="E249" s="11"/>
      <c r="F249" s="16">
        <f t="shared" si="48"/>
        <v>0</v>
      </c>
      <c r="G249" s="9"/>
      <c r="H249" s="11"/>
      <c r="I249" s="16">
        <f t="shared" si="49"/>
        <v>0</v>
      </c>
      <c r="J249" s="9"/>
      <c r="K249" s="10"/>
      <c r="L249" s="9"/>
      <c r="M249" s="10"/>
      <c r="N249" s="9"/>
      <c r="O249" s="11"/>
      <c r="P249" s="11"/>
      <c r="Q249" s="10">
        <f t="shared" si="45"/>
        <v>0</v>
      </c>
      <c r="R249" s="9"/>
      <c r="S249" s="11"/>
      <c r="T249" s="10"/>
      <c r="U249" s="9"/>
      <c r="V249" s="11"/>
      <c r="W249" s="11"/>
      <c r="X249" s="10"/>
      <c r="Y249" s="9"/>
      <c r="Z249" s="8"/>
      <c r="AA249" s="13" t="s">
        <v>180</v>
      </c>
    </row>
    <row r="250" spans="2:27">
      <c r="B250" s="12">
        <v>46240</v>
      </c>
      <c r="C250" s="9"/>
      <c r="D250" s="11"/>
      <c r="E250" s="11"/>
      <c r="F250" s="16">
        <f t="shared" si="48"/>
        <v>0</v>
      </c>
      <c r="G250" s="9"/>
      <c r="H250" s="11"/>
      <c r="I250" s="16">
        <f t="shared" si="49"/>
        <v>0</v>
      </c>
      <c r="J250" s="9"/>
      <c r="K250" s="10"/>
      <c r="L250" s="9"/>
      <c r="M250" s="10"/>
      <c r="N250" s="9"/>
      <c r="O250" s="11"/>
      <c r="P250" s="11"/>
      <c r="Q250" s="10">
        <f t="shared" si="45"/>
        <v>0</v>
      </c>
      <c r="R250" s="9"/>
      <c r="S250" s="11"/>
      <c r="T250" s="10"/>
      <c r="U250" s="9"/>
      <c r="V250" s="11"/>
      <c r="W250" s="11"/>
      <c r="X250" s="10"/>
      <c r="Y250" s="9"/>
      <c r="Z250" s="8"/>
      <c r="AA250" s="102" t="s">
        <v>24</v>
      </c>
    </row>
    <row r="251" spans="2:27">
      <c r="B251" s="12">
        <v>46241</v>
      </c>
      <c r="C251" s="9"/>
      <c r="D251" s="11"/>
      <c r="E251" s="11"/>
      <c r="F251" s="16">
        <f t="shared" si="48"/>
        <v>0</v>
      </c>
      <c r="G251" s="9"/>
      <c r="H251" s="11"/>
      <c r="I251" s="16">
        <f t="shared" si="49"/>
        <v>0</v>
      </c>
      <c r="J251" s="9"/>
      <c r="K251" s="10"/>
      <c r="L251" s="9"/>
      <c r="M251" s="10"/>
      <c r="N251" s="9"/>
      <c r="O251" s="11"/>
      <c r="P251" s="11"/>
      <c r="Q251" s="10">
        <f t="shared" si="45"/>
        <v>0</v>
      </c>
      <c r="R251" s="9"/>
      <c r="S251" s="11"/>
      <c r="T251" s="10"/>
      <c r="U251" s="9"/>
      <c r="V251" s="11"/>
      <c r="W251" s="11"/>
      <c r="X251" s="10"/>
      <c r="Y251" s="9"/>
      <c r="Z251" s="8"/>
      <c r="AA251" s="13" t="s">
        <v>23</v>
      </c>
    </row>
    <row r="252" spans="2:27">
      <c r="B252" s="12">
        <v>46242</v>
      </c>
      <c r="C252" s="9"/>
      <c r="D252" s="11"/>
      <c r="E252" s="11"/>
      <c r="F252" s="16">
        <f t="shared" si="48"/>
        <v>0</v>
      </c>
      <c r="G252" s="9"/>
      <c r="H252" s="11"/>
      <c r="I252" s="16">
        <f t="shared" si="49"/>
        <v>0</v>
      </c>
      <c r="J252" s="9"/>
      <c r="K252" s="10"/>
      <c r="L252" s="9"/>
      <c r="M252" s="10"/>
      <c r="N252" s="9"/>
      <c r="O252" s="11"/>
      <c r="P252" s="11"/>
      <c r="Q252" s="10">
        <f t="shared" si="45"/>
        <v>0</v>
      </c>
      <c r="R252" s="9"/>
      <c r="S252" s="11"/>
      <c r="T252" s="10"/>
      <c r="U252" s="9"/>
      <c r="V252" s="11"/>
      <c r="W252" s="11"/>
      <c r="X252" s="10"/>
      <c r="Y252" s="9"/>
      <c r="Z252" s="8"/>
      <c r="AA252" s="102" t="s">
        <v>22</v>
      </c>
    </row>
    <row r="253" spans="2:27">
      <c r="B253" s="12">
        <v>46243</v>
      </c>
      <c r="C253" s="9"/>
      <c r="D253" s="11"/>
      <c r="E253" s="11"/>
      <c r="F253" s="16">
        <f t="shared" si="48"/>
        <v>0</v>
      </c>
      <c r="G253" s="9"/>
      <c r="H253" s="11"/>
      <c r="I253" s="16">
        <f t="shared" si="49"/>
        <v>0</v>
      </c>
      <c r="J253" s="9"/>
      <c r="K253" s="10"/>
      <c r="L253" s="9"/>
      <c r="M253" s="10"/>
      <c r="N253" s="9"/>
      <c r="O253" s="11"/>
      <c r="P253" s="11"/>
      <c r="Q253" s="10">
        <f t="shared" si="45"/>
        <v>0</v>
      </c>
      <c r="R253" s="9"/>
      <c r="S253" s="11"/>
      <c r="T253" s="10"/>
      <c r="U253" s="9"/>
      <c r="V253" s="11"/>
      <c r="W253" s="11"/>
      <c r="X253" s="10"/>
      <c r="Y253" s="9"/>
      <c r="Z253" s="8"/>
      <c r="AA253" s="7" t="s">
        <v>21</v>
      </c>
    </row>
    <row r="254" spans="2:27">
      <c r="B254" s="12">
        <v>46244</v>
      </c>
      <c r="C254" s="9"/>
      <c r="D254" s="11"/>
      <c r="E254" s="11"/>
      <c r="F254" s="16">
        <f t="shared" si="48"/>
        <v>0</v>
      </c>
      <c r="G254" s="9"/>
      <c r="H254" s="11"/>
      <c r="I254" s="16">
        <f t="shared" si="49"/>
        <v>0</v>
      </c>
      <c r="J254" s="9"/>
      <c r="K254" s="10"/>
      <c r="L254" s="9"/>
      <c r="M254" s="10"/>
      <c r="N254" s="9"/>
      <c r="O254" s="11"/>
      <c r="P254" s="11"/>
      <c r="Q254" s="10">
        <f t="shared" si="45"/>
        <v>0</v>
      </c>
      <c r="R254" s="9"/>
      <c r="S254" s="11"/>
      <c r="T254" s="10"/>
      <c r="U254" s="9"/>
      <c r="V254" s="11"/>
      <c r="W254" s="11"/>
      <c r="X254" s="10"/>
      <c r="Y254" s="9"/>
      <c r="Z254" s="8"/>
      <c r="AA254" s="7" t="s">
        <v>20</v>
      </c>
    </row>
    <row r="255" spans="2:27">
      <c r="B255" s="12">
        <v>46245</v>
      </c>
      <c r="C255" s="9"/>
      <c r="D255" s="11"/>
      <c r="E255" s="11"/>
      <c r="F255" s="16">
        <f t="shared" si="48"/>
        <v>0</v>
      </c>
      <c r="G255" s="9"/>
      <c r="H255" s="11"/>
      <c r="I255" s="16">
        <f t="shared" si="49"/>
        <v>0</v>
      </c>
      <c r="J255" s="9"/>
      <c r="K255" s="10"/>
      <c r="L255" s="9"/>
      <c r="M255" s="10"/>
      <c r="N255" s="9"/>
      <c r="O255" s="11"/>
      <c r="P255" s="11"/>
      <c r="Q255" s="10">
        <f t="shared" si="45"/>
        <v>0</v>
      </c>
      <c r="R255" s="9"/>
      <c r="S255" s="11"/>
      <c r="T255" s="10"/>
      <c r="U255" s="9"/>
      <c r="V255" s="11"/>
      <c r="W255" s="11"/>
      <c r="X255" s="10"/>
      <c r="Y255" s="9"/>
      <c r="Z255" s="8"/>
      <c r="AA255" s="7" t="s">
        <v>19</v>
      </c>
    </row>
    <row r="256" spans="2:27">
      <c r="B256" s="12">
        <v>46246</v>
      </c>
      <c r="C256" s="9"/>
      <c r="D256" s="11"/>
      <c r="E256" s="11"/>
      <c r="F256" s="16">
        <f t="shared" si="48"/>
        <v>0</v>
      </c>
      <c r="G256" s="9"/>
      <c r="H256" s="11"/>
      <c r="I256" s="16">
        <f t="shared" si="49"/>
        <v>0</v>
      </c>
      <c r="J256" s="9"/>
      <c r="K256" s="10"/>
      <c r="L256" s="9"/>
      <c r="M256" s="10"/>
      <c r="N256" s="9"/>
      <c r="O256" s="11"/>
      <c r="P256" s="11"/>
      <c r="Q256" s="10">
        <f t="shared" si="45"/>
        <v>0</v>
      </c>
      <c r="R256" s="9"/>
      <c r="S256" s="11"/>
      <c r="T256" s="10"/>
      <c r="U256" s="9"/>
      <c r="V256" s="11"/>
      <c r="W256" s="11"/>
      <c r="X256" s="10"/>
      <c r="Y256" s="9"/>
      <c r="Z256" s="8"/>
      <c r="AA256" s="7" t="s">
        <v>18</v>
      </c>
    </row>
    <row r="257" spans="2:27">
      <c r="B257" s="12">
        <v>46247</v>
      </c>
      <c r="C257" s="9"/>
      <c r="D257" s="11"/>
      <c r="E257" s="11"/>
      <c r="F257" s="16">
        <f t="shared" si="48"/>
        <v>0</v>
      </c>
      <c r="G257" s="9"/>
      <c r="H257" s="11"/>
      <c r="I257" s="16">
        <f t="shared" si="49"/>
        <v>0</v>
      </c>
      <c r="J257" s="9"/>
      <c r="K257" s="10"/>
      <c r="L257" s="9"/>
      <c r="M257" s="10"/>
      <c r="N257" s="9"/>
      <c r="O257" s="11"/>
      <c r="P257" s="11"/>
      <c r="Q257" s="10">
        <f t="shared" si="45"/>
        <v>0</v>
      </c>
      <c r="R257" s="9"/>
      <c r="S257" s="11"/>
      <c r="T257" s="10"/>
      <c r="U257" s="9"/>
      <c r="V257" s="11"/>
      <c r="W257" s="11"/>
      <c r="X257" s="10"/>
      <c r="Y257" s="9"/>
      <c r="Z257" s="8"/>
      <c r="AA257" s="7" t="s">
        <v>17</v>
      </c>
    </row>
    <row r="258" spans="2:27">
      <c r="B258" s="12">
        <v>46248</v>
      </c>
      <c r="C258" s="9"/>
      <c r="D258" s="11"/>
      <c r="E258" s="11"/>
      <c r="F258" s="16">
        <f t="shared" si="48"/>
        <v>0</v>
      </c>
      <c r="G258" s="9"/>
      <c r="H258" s="11"/>
      <c r="I258" s="16">
        <f t="shared" si="49"/>
        <v>0</v>
      </c>
      <c r="J258" s="9"/>
      <c r="K258" s="10"/>
      <c r="L258" s="9"/>
      <c r="M258" s="10"/>
      <c r="N258" s="9"/>
      <c r="O258" s="11"/>
      <c r="P258" s="11"/>
      <c r="Q258" s="10">
        <f t="shared" si="45"/>
        <v>0</v>
      </c>
      <c r="R258" s="9"/>
      <c r="S258" s="11"/>
      <c r="T258" s="10"/>
      <c r="U258" s="9"/>
      <c r="V258" s="11"/>
      <c r="W258" s="11"/>
      <c r="X258" s="10"/>
      <c r="Y258" s="9"/>
      <c r="Z258" s="8"/>
      <c r="AA258" s="7" t="s">
        <v>16</v>
      </c>
    </row>
    <row r="259" spans="2:27">
      <c r="B259" s="12">
        <v>46249</v>
      </c>
      <c r="C259" s="9"/>
      <c r="D259" s="11"/>
      <c r="E259" s="11"/>
      <c r="F259" s="16">
        <f t="shared" si="48"/>
        <v>0</v>
      </c>
      <c r="G259" s="9"/>
      <c r="H259" s="11"/>
      <c r="I259" s="16">
        <f t="shared" si="49"/>
        <v>0</v>
      </c>
      <c r="J259" s="9"/>
      <c r="K259" s="10"/>
      <c r="L259" s="9"/>
      <c r="M259" s="10"/>
      <c r="N259" s="9"/>
      <c r="O259" s="11"/>
      <c r="P259" s="11"/>
      <c r="Q259" s="10">
        <f t="shared" si="45"/>
        <v>0</v>
      </c>
      <c r="R259" s="9"/>
      <c r="S259" s="11"/>
      <c r="T259" s="10"/>
      <c r="U259" s="9"/>
      <c r="V259" s="11"/>
      <c r="W259" s="11"/>
      <c r="X259" s="10"/>
      <c r="Y259" s="9"/>
      <c r="Z259" s="8"/>
      <c r="AA259" s="7" t="s">
        <v>15</v>
      </c>
    </row>
    <row r="260" spans="2:27">
      <c r="B260" s="12">
        <v>46250</v>
      </c>
      <c r="C260" s="9"/>
      <c r="D260" s="11"/>
      <c r="E260" s="11"/>
      <c r="F260" s="16">
        <f t="shared" si="48"/>
        <v>0</v>
      </c>
      <c r="G260" s="9"/>
      <c r="H260" s="11"/>
      <c r="I260" s="16">
        <f t="shared" si="49"/>
        <v>0</v>
      </c>
      <c r="J260" s="9"/>
      <c r="K260" s="10"/>
      <c r="L260" s="9"/>
      <c r="M260" s="10"/>
      <c r="N260" s="9"/>
      <c r="O260" s="11"/>
      <c r="P260" s="11"/>
      <c r="Q260" s="10">
        <f t="shared" si="45"/>
        <v>0</v>
      </c>
      <c r="R260" s="9"/>
      <c r="S260" s="11"/>
      <c r="T260" s="10"/>
      <c r="U260" s="9"/>
      <c r="V260" s="11"/>
      <c r="W260" s="11"/>
      <c r="X260" s="10"/>
      <c r="Y260" s="9"/>
      <c r="Z260" s="8"/>
      <c r="AA260" s="7" t="s">
        <v>14</v>
      </c>
    </row>
    <row r="261" spans="2:27">
      <c r="B261" s="12">
        <v>46251</v>
      </c>
      <c r="C261" s="9"/>
      <c r="D261" s="11"/>
      <c r="E261" s="11"/>
      <c r="F261" s="16">
        <f t="shared" si="48"/>
        <v>0</v>
      </c>
      <c r="G261" s="9"/>
      <c r="H261" s="11"/>
      <c r="I261" s="16">
        <f t="shared" si="49"/>
        <v>0</v>
      </c>
      <c r="J261" s="9"/>
      <c r="K261" s="10"/>
      <c r="L261" s="9"/>
      <c r="M261" s="10"/>
      <c r="N261" s="9"/>
      <c r="O261" s="11"/>
      <c r="P261" s="11"/>
      <c r="Q261" s="10">
        <f t="shared" si="45"/>
        <v>0</v>
      </c>
      <c r="R261" s="9"/>
      <c r="S261" s="11"/>
      <c r="T261" s="10"/>
      <c r="U261" s="9"/>
      <c r="V261" s="11"/>
      <c r="W261" s="161"/>
      <c r="X261" s="10"/>
      <c r="Y261" s="9"/>
      <c r="Z261" s="8"/>
      <c r="AA261" s="7" t="s">
        <v>13</v>
      </c>
    </row>
    <row r="262" spans="2:27">
      <c r="B262" s="12">
        <v>46252</v>
      </c>
      <c r="C262" s="9"/>
      <c r="D262" s="11"/>
      <c r="E262" s="11"/>
      <c r="F262" s="16">
        <f t="shared" si="48"/>
        <v>0</v>
      </c>
      <c r="G262" s="9"/>
      <c r="H262" s="11"/>
      <c r="I262" s="16">
        <f t="shared" si="49"/>
        <v>0</v>
      </c>
      <c r="J262" s="9"/>
      <c r="K262" s="10"/>
      <c r="L262" s="9"/>
      <c r="M262" s="10"/>
      <c r="N262" s="9"/>
      <c r="O262" s="11"/>
      <c r="P262" s="11"/>
      <c r="Q262" s="10">
        <f t="shared" si="45"/>
        <v>0</v>
      </c>
      <c r="R262" s="9"/>
      <c r="S262" s="11"/>
      <c r="T262" s="10"/>
      <c r="U262" s="9"/>
      <c r="V262" s="11"/>
      <c r="W262" s="11"/>
      <c r="X262" s="10"/>
      <c r="Y262" s="9"/>
      <c r="Z262" s="8"/>
      <c r="AA262" s="7" t="s">
        <v>12</v>
      </c>
    </row>
    <row r="263" spans="2:27">
      <c r="B263" s="12">
        <v>46253</v>
      </c>
      <c r="C263" s="9"/>
      <c r="D263" s="11"/>
      <c r="E263" s="11"/>
      <c r="F263" s="16">
        <f t="shared" si="48"/>
        <v>0</v>
      </c>
      <c r="G263" s="9"/>
      <c r="H263" s="11"/>
      <c r="I263" s="16">
        <f t="shared" si="49"/>
        <v>0</v>
      </c>
      <c r="J263" s="9"/>
      <c r="K263" s="10"/>
      <c r="L263" s="9"/>
      <c r="M263" s="10"/>
      <c r="N263" s="9"/>
      <c r="O263" s="11"/>
      <c r="P263" s="11"/>
      <c r="Q263" s="10">
        <f t="shared" si="45"/>
        <v>0</v>
      </c>
      <c r="R263" s="9"/>
      <c r="S263" s="11"/>
      <c r="T263" s="10"/>
      <c r="U263" s="9"/>
      <c r="V263" s="11"/>
      <c r="W263" s="11"/>
      <c r="X263" s="10"/>
      <c r="Y263" s="9"/>
      <c r="Z263" s="8"/>
      <c r="AA263" s="7" t="s">
        <v>11</v>
      </c>
    </row>
    <row r="264" spans="2:27">
      <c r="B264" s="12">
        <v>46254</v>
      </c>
      <c r="C264" s="9"/>
      <c r="D264" s="11"/>
      <c r="E264" s="11"/>
      <c r="F264" s="16">
        <f t="shared" si="48"/>
        <v>0</v>
      </c>
      <c r="G264" s="9"/>
      <c r="H264" s="11"/>
      <c r="I264" s="16">
        <f t="shared" si="49"/>
        <v>0</v>
      </c>
      <c r="J264" s="9"/>
      <c r="K264" s="10"/>
      <c r="L264" s="9"/>
      <c r="M264" s="10"/>
      <c r="N264" s="9"/>
      <c r="O264" s="11"/>
      <c r="P264" s="11"/>
      <c r="Q264" s="10">
        <f t="shared" si="45"/>
        <v>0</v>
      </c>
      <c r="R264" s="9"/>
      <c r="S264" s="11"/>
      <c r="T264" s="10"/>
      <c r="U264" s="9"/>
      <c r="V264" s="11"/>
      <c r="W264" s="11"/>
      <c r="X264" s="10"/>
      <c r="Y264" s="9"/>
      <c r="Z264" s="8"/>
      <c r="AA264" s="7" t="s">
        <v>10</v>
      </c>
    </row>
    <row r="265" spans="2:27">
      <c r="B265" s="12">
        <v>46255</v>
      </c>
      <c r="C265" s="9"/>
      <c r="D265" s="11"/>
      <c r="E265" s="11"/>
      <c r="F265" s="16">
        <f t="shared" si="48"/>
        <v>0</v>
      </c>
      <c r="G265" s="9"/>
      <c r="H265" s="11"/>
      <c r="I265" s="16">
        <f t="shared" si="49"/>
        <v>0</v>
      </c>
      <c r="J265" s="9"/>
      <c r="K265" s="10"/>
      <c r="L265" s="9"/>
      <c r="M265" s="10"/>
      <c r="N265" s="9"/>
      <c r="O265" s="11"/>
      <c r="P265" s="11"/>
      <c r="Q265" s="10">
        <f t="shared" si="45"/>
        <v>0</v>
      </c>
      <c r="R265" s="9"/>
      <c r="S265" s="11"/>
      <c r="T265" s="10"/>
      <c r="U265" s="9"/>
      <c r="V265" s="11"/>
      <c r="W265" s="11"/>
      <c r="X265" s="10"/>
      <c r="Y265" s="9"/>
      <c r="Z265" s="8"/>
      <c r="AA265" s="7" t="s">
        <v>9</v>
      </c>
    </row>
    <row r="266" spans="2:27">
      <c r="B266" s="12">
        <v>46256</v>
      </c>
      <c r="C266" s="9"/>
      <c r="D266" s="11"/>
      <c r="E266" s="11"/>
      <c r="F266" s="16">
        <f t="shared" si="48"/>
        <v>0</v>
      </c>
      <c r="G266" s="9"/>
      <c r="H266" s="11"/>
      <c r="I266" s="16">
        <f t="shared" si="49"/>
        <v>0</v>
      </c>
      <c r="J266" s="9"/>
      <c r="K266" s="10"/>
      <c r="L266" s="9"/>
      <c r="M266" s="10"/>
      <c r="N266" s="9"/>
      <c r="O266" s="11"/>
      <c r="P266" s="11"/>
      <c r="Q266" s="10">
        <f t="shared" si="45"/>
        <v>0</v>
      </c>
      <c r="R266" s="9"/>
      <c r="S266" s="11"/>
      <c r="T266" s="10"/>
      <c r="U266" s="9"/>
      <c r="V266" s="11"/>
      <c r="W266" s="11"/>
      <c r="X266" s="10"/>
      <c r="Y266" s="9"/>
      <c r="Z266" s="8"/>
      <c r="AA266" s="7" t="s">
        <v>8</v>
      </c>
    </row>
    <row r="267" spans="2:27">
      <c r="B267" s="12">
        <v>46257</v>
      </c>
      <c r="C267" s="9"/>
      <c r="D267" s="11"/>
      <c r="E267" s="11"/>
      <c r="F267" s="16">
        <f t="shared" si="48"/>
        <v>0</v>
      </c>
      <c r="G267" s="9"/>
      <c r="H267" s="11"/>
      <c r="I267" s="16">
        <f t="shared" si="49"/>
        <v>0</v>
      </c>
      <c r="J267" s="9"/>
      <c r="K267" s="10"/>
      <c r="L267" s="9"/>
      <c r="M267" s="10"/>
      <c r="N267" s="9"/>
      <c r="O267" s="11"/>
      <c r="P267" s="11"/>
      <c r="Q267" s="10">
        <f t="shared" si="45"/>
        <v>0</v>
      </c>
      <c r="R267" s="9"/>
      <c r="S267" s="11"/>
      <c r="T267" s="10"/>
      <c r="U267" s="9"/>
      <c r="V267" s="11"/>
      <c r="W267" s="11"/>
      <c r="X267" s="10"/>
      <c r="Y267" s="9"/>
      <c r="Z267" s="8"/>
      <c r="AA267" s="7" t="s">
        <v>7</v>
      </c>
    </row>
    <row r="268" spans="2:27">
      <c r="B268" s="12">
        <v>46258</v>
      </c>
      <c r="C268" s="9"/>
      <c r="D268" s="11"/>
      <c r="E268" s="11"/>
      <c r="F268" s="16">
        <f t="shared" si="48"/>
        <v>0</v>
      </c>
      <c r="G268" s="9"/>
      <c r="H268" s="11"/>
      <c r="I268" s="16">
        <f t="shared" si="49"/>
        <v>0</v>
      </c>
      <c r="J268" s="9"/>
      <c r="K268" s="10"/>
      <c r="L268" s="9"/>
      <c r="M268" s="10"/>
      <c r="N268" s="9"/>
      <c r="O268" s="11"/>
      <c r="P268" s="11"/>
      <c r="Q268" s="10">
        <f t="shared" si="45"/>
        <v>0</v>
      </c>
      <c r="R268" s="9"/>
      <c r="S268" s="11"/>
      <c r="T268" s="10"/>
      <c r="U268" s="9"/>
      <c r="V268" s="11"/>
      <c r="W268" s="11"/>
      <c r="X268" s="10"/>
      <c r="Y268" s="9"/>
      <c r="Z268" s="8"/>
      <c r="AA268" s="7" t="s">
        <v>6</v>
      </c>
    </row>
    <row r="269" spans="2:27">
      <c r="B269" s="12">
        <v>46259</v>
      </c>
      <c r="C269" s="9"/>
      <c r="D269" s="11"/>
      <c r="E269" s="11"/>
      <c r="F269" s="16">
        <f t="shared" si="48"/>
        <v>0</v>
      </c>
      <c r="G269" s="9"/>
      <c r="H269" s="11"/>
      <c r="I269" s="16">
        <f t="shared" si="49"/>
        <v>0</v>
      </c>
      <c r="J269" s="9"/>
      <c r="K269" s="10"/>
      <c r="L269" s="9"/>
      <c r="M269" s="10"/>
      <c r="N269" s="9"/>
      <c r="O269" s="11"/>
      <c r="P269" s="11"/>
      <c r="Q269" s="10">
        <f t="shared" si="45"/>
        <v>0</v>
      </c>
      <c r="R269" s="9"/>
      <c r="S269" s="11"/>
      <c r="T269" s="10"/>
      <c r="U269" s="9"/>
      <c r="V269" s="11"/>
      <c r="W269" s="11"/>
      <c r="X269" s="10"/>
      <c r="Y269" s="9"/>
      <c r="Z269" s="8"/>
      <c r="AA269" s="7" t="s">
        <v>5</v>
      </c>
    </row>
    <row r="270" spans="2:27">
      <c r="B270" s="12">
        <v>46260</v>
      </c>
      <c r="C270" s="9"/>
      <c r="D270" s="11"/>
      <c r="E270" s="11"/>
      <c r="F270" s="16">
        <f t="shared" si="48"/>
        <v>0</v>
      </c>
      <c r="G270" s="9"/>
      <c r="H270" s="11"/>
      <c r="I270" s="16">
        <f t="shared" si="49"/>
        <v>0</v>
      </c>
      <c r="J270" s="9"/>
      <c r="K270" s="10"/>
      <c r="L270" s="9"/>
      <c r="M270" s="10"/>
      <c r="N270" s="9"/>
      <c r="O270" s="11"/>
      <c r="P270" s="11"/>
      <c r="Q270" s="10">
        <f t="shared" si="45"/>
        <v>0</v>
      </c>
      <c r="R270" s="9"/>
      <c r="S270" s="11"/>
      <c r="T270" s="10"/>
      <c r="U270" s="9"/>
      <c r="V270" s="11"/>
      <c r="W270" s="11"/>
      <c r="X270" s="10"/>
      <c r="Y270" s="9"/>
      <c r="Z270" s="8"/>
      <c r="AA270" s="7" t="s">
        <v>4</v>
      </c>
    </row>
    <row r="271" spans="2:27">
      <c r="B271" s="12">
        <v>46261</v>
      </c>
      <c r="C271" s="9"/>
      <c r="D271" s="11"/>
      <c r="E271" s="11"/>
      <c r="F271" s="16">
        <f t="shared" si="48"/>
        <v>0</v>
      </c>
      <c r="G271" s="9"/>
      <c r="H271" s="11"/>
      <c r="I271" s="16">
        <f t="shared" si="49"/>
        <v>0</v>
      </c>
      <c r="J271" s="9"/>
      <c r="K271" s="10"/>
      <c r="L271" s="9"/>
      <c r="M271" s="10"/>
      <c r="N271" s="9"/>
      <c r="O271" s="11"/>
      <c r="P271" s="11"/>
      <c r="Q271" s="10">
        <f t="shared" si="45"/>
        <v>0</v>
      </c>
      <c r="R271" s="9"/>
      <c r="S271" s="11"/>
      <c r="T271" s="10"/>
      <c r="U271" s="9"/>
      <c r="V271" s="11"/>
      <c r="W271" s="11"/>
      <c r="X271" s="10"/>
      <c r="Y271" s="9"/>
      <c r="Z271" s="8"/>
      <c r="AA271" s="7" t="s">
        <v>3</v>
      </c>
    </row>
    <row r="272" spans="2:27">
      <c r="B272" s="12">
        <v>46262</v>
      </c>
      <c r="C272" s="9"/>
      <c r="D272" s="11"/>
      <c r="E272" s="11"/>
      <c r="F272" s="16">
        <f t="shared" si="48"/>
        <v>0</v>
      </c>
      <c r="G272" s="9"/>
      <c r="H272" s="11"/>
      <c r="I272" s="16">
        <f t="shared" si="49"/>
        <v>0</v>
      </c>
      <c r="J272" s="9"/>
      <c r="K272" s="10"/>
      <c r="L272" s="9"/>
      <c r="M272" s="10"/>
      <c r="N272" s="162"/>
      <c r="O272" s="161"/>
      <c r="P272" s="161"/>
      <c r="Q272" s="163">
        <f t="shared" si="45"/>
        <v>0</v>
      </c>
      <c r="R272" s="9"/>
      <c r="S272" s="11"/>
      <c r="T272" s="10"/>
      <c r="U272" s="9"/>
      <c r="V272" s="11"/>
      <c r="W272" s="11"/>
      <c r="X272" s="10"/>
      <c r="Y272" s="9"/>
      <c r="Z272" s="8"/>
      <c r="AA272" s="7" t="s">
        <v>2</v>
      </c>
    </row>
    <row r="273" spans="2:27">
      <c r="B273" s="12">
        <v>46263</v>
      </c>
      <c r="C273" s="9"/>
      <c r="D273" s="11"/>
      <c r="E273" s="11"/>
      <c r="F273" s="16">
        <f t="shared" si="48"/>
        <v>0</v>
      </c>
      <c r="G273" s="9"/>
      <c r="H273" s="11"/>
      <c r="I273" s="16">
        <f t="shared" si="49"/>
        <v>0</v>
      </c>
      <c r="J273" s="9"/>
      <c r="K273" s="10"/>
      <c r="L273" s="9"/>
      <c r="M273" s="10"/>
      <c r="N273" s="9"/>
      <c r="O273" s="11"/>
      <c r="P273" s="11"/>
      <c r="Q273" s="10">
        <f t="shared" si="45"/>
        <v>0</v>
      </c>
      <c r="R273" s="9"/>
      <c r="S273" s="11"/>
      <c r="T273" s="10"/>
      <c r="U273" s="9"/>
      <c r="V273" s="11"/>
      <c r="W273" s="11"/>
      <c r="X273" s="10"/>
      <c r="Y273" s="9"/>
      <c r="Z273" s="8"/>
      <c r="AA273" s="7" t="s">
        <v>1</v>
      </c>
    </row>
    <row r="274" spans="2:27">
      <c r="B274" s="12">
        <v>46264</v>
      </c>
      <c r="C274" s="9"/>
      <c r="D274" s="11"/>
      <c r="E274" s="11"/>
      <c r="F274" s="16">
        <f t="shared" si="48"/>
        <v>0</v>
      </c>
      <c r="G274" s="9"/>
      <c r="H274" s="11"/>
      <c r="I274" s="16">
        <f t="shared" si="49"/>
        <v>0</v>
      </c>
      <c r="J274" s="9"/>
      <c r="K274" s="10"/>
      <c r="L274" s="9"/>
      <c r="M274" s="10"/>
      <c r="N274" s="9"/>
      <c r="O274" s="11"/>
      <c r="P274" s="11"/>
      <c r="Q274" s="10">
        <f t="shared" si="45"/>
        <v>0</v>
      </c>
      <c r="R274" s="9"/>
      <c r="S274" s="11"/>
      <c r="T274" s="10"/>
      <c r="U274" s="9"/>
      <c r="V274" s="11"/>
      <c r="W274" s="11"/>
      <c r="X274" s="10"/>
      <c r="Y274" s="9"/>
      <c r="Z274" s="8"/>
      <c r="AA274" s="7" t="s">
        <v>59</v>
      </c>
    </row>
    <row r="275" spans="2:27" ht="17.25" thickBot="1">
      <c r="B275" s="6">
        <v>46265</v>
      </c>
      <c r="C275" s="3"/>
      <c r="D275" s="5"/>
      <c r="E275" s="5"/>
      <c r="F275" s="160">
        <f t="shared" si="48"/>
        <v>0</v>
      </c>
      <c r="G275" s="3"/>
      <c r="H275" s="5"/>
      <c r="I275" s="160">
        <f t="shared" si="49"/>
        <v>0</v>
      </c>
      <c r="J275" s="3"/>
      <c r="K275" s="4"/>
      <c r="L275" s="3"/>
      <c r="M275" s="4"/>
      <c r="N275" s="3"/>
      <c r="O275" s="5"/>
      <c r="P275" s="5"/>
      <c r="Q275" s="4">
        <f t="shared" si="45"/>
        <v>0</v>
      </c>
      <c r="R275" s="3"/>
      <c r="S275" s="5"/>
      <c r="T275" s="4"/>
      <c r="U275" s="3"/>
      <c r="V275" s="5"/>
      <c r="W275" s="5"/>
      <c r="X275" s="4"/>
      <c r="Y275" s="3"/>
      <c r="Z275" s="2"/>
      <c r="AA275" s="1" t="s">
        <v>58</v>
      </c>
    </row>
    <row r="276" spans="2:27" ht="17.25" thickBot="1"/>
    <row r="277" spans="2:27" ht="20.25" thickBot="1">
      <c r="B277" s="194"/>
      <c r="C277" s="206" t="s">
        <v>57</v>
      </c>
      <c r="D277" s="207"/>
      <c r="E277" s="207"/>
      <c r="F277" s="208"/>
      <c r="G277" s="209" t="s">
        <v>56</v>
      </c>
      <c r="H277" s="210"/>
      <c r="I277" s="211"/>
      <c r="J277" s="206" t="s">
        <v>55</v>
      </c>
      <c r="K277" s="208"/>
      <c r="L277" s="212" t="s">
        <v>54</v>
      </c>
      <c r="M277" s="208"/>
      <c r="N277" s="213" t="s">
        <v>53</v>
      </c>
      <c r="O277" s="214"/>
      <c r="P277" s="214"/>
      <c r="Q277" s="215"/>
      <c r="R277" s="206" t="s">
        <v>52</v>
      </c>
      <c r="S277" s="207"/>
      <c r="T277" s="208"/>
      <c r="U277" s="206" t="s">
        <v>51</v>
      </c>
      <c r="V277" s="207"/>
      <c r="W277" s="207"/>
      <c r="X277" s="208"/>
      <c r="Y277" s="206" t="s">
        <v>50</v>
      </c>
      <c r="Z277" s="207"/>
      <c r="AA277" s="192" t="s">
        <v>49</v>
      </c>
    </row>
    <row r="278" spans="2:27" ht="20.25" thickBot="1">
      <c r="B278" s="195"/>
      <c r="C278" s="25" t="s">
        <v>48</v>
      </c>
      <c r="D278" s="27" t="s">
        <v>47</v>
      </c>
      <c r="E278" s="27" t="s">
        <v>46</v>
      </c>
      <c r="F278" s="26" t="s">
        <v>45</v>
      </c>
      <c r="G278" s="25" t="s">
        <v>43</v>
      </c>
      <c r="H278" s="27" t="s">
        <v>42</v>
      </c>
      <c r="I278" s="26" t="s">
        <v>44</v>
      </c>
      <c r="J278" s="25" t="s">
        <v>43</v>
      </c>
      <c r="K278" s="26" t="s">
        <v>42</v>
      </c>
      <c r="L278" s="25" t="s">
        <v>43</v>
      </c>
      <c r="M278" s="26" t="s">
        <v>42</v>
      </c>
      <c r="N278" s="31" t="s">
        <v>41</v>
      </c>
      <c r="O278" s="30" t="s">
        <v>40</v>
      </c>
      <c r="P278" s="30" t="s">
        <v>39</v>
      </c>
      <c r="Q278" s="29" t="s">
        <v>38</v>
      </c>
      <c r="R278" s="108" t="s">
        <v>143</v>
      </c>
      <c r="S278" s="107" t="s">
        <v>144</v>
      </c>
      <c r="T278" s="26" t="s">
        <v>37</v>
      </c>
      <c r="U278" s="25" t="s">
        <v>36</v>
      </c>
      <c r="V278" s="28" t="s">
        <v>35</v>
      </c>
      <c r="W278" s="27" t="s">
        <v>34</v>
      </c>
      <c r="X278" s="26" t="s">
        <v>33</v>
      </c>
      <c r="Y278" s="25" t="s">
        <v>32</v>
      </c>
      <c r="Z278" s="24" t="s">
        <v>31</v>
      </c>
      <c r="AA278" s="193"/>
    </row>
    <row r="279" spans="2:27" ht="21.75" thickBot="1">
      <c r="B279" s="23" t="s">
        <v>157</v>
      </c>
      <c r="C279" s="20">
        <f t="shared" ref="C279:I279" si="50">SUM(C280:C309)</f>
        <v>0</v>
      </c>
      <c r="D279" s="22">
        <f t="shared" si="50"/>
        <v>0</v>
      </c>
      <c r="E279" s="22">
        <f t="shared" si="50"/>
        <v>0</v>
      </c>
      <c r="F279" s="21">
        <f t="shared" si="50"/>
        <v>0</v>
      </c>
      <c r="G279" s="20">
        <f t="shared" si="50"/>
        <v>0</v>
      </c>
      <c r="H279" s="22">
        <f t="shared" si="50"/>
        <v>0</v>
      </c>
      <c r="I279" s="21">
        <f t="shared" si="50"/>
        <v>0</v>
      </c>
      <c r="J279" s="20">
        <f>IFERROR(AVERAGE(J280:J309),0)</f>
        <v>0</v>
      </c>
      <c r="K279" s="21">
        <f>IFERROR(AVERAGE(K280:K309),0)</f>
        <v>0</v>
      </c>
      <c r="L279" s="20">
        <f>IFERROR(AVERAGE(L280:L309),0)</f>
        <v>0</v>
      </c>
      <c r="M279" s="21">
        <f>IFERROR(AVERAGE(M280:M309),0)</f>
        <v>0</v>
      </c>
      <c r="N279" s="20">
        <f>SUM(N280:N309)</f>
        <v>0</v>
      </c>
      <c r="O279" s="22">
        <f>SUM(O280:O309)</f>
        <v>0</v>
      </c>
      <c r="P279" s="22">
        <f>SUM(P280:P309)</f>
        <v>0</v>
      </c>
      <c r="Q279" s="21">
        <f>IFERROR(O279/N279*100,0)</f>
        <v>0</v>
      </c>
      <c r="R279" s="20">
        <f t="shared" ref="R279:Z279" si="51">SUM(R280:R309)</f>
        <v>0</v>
      </c>
      <c r="S279" s="22">
        <f t="shared" si="51"/>
        <v>0</v>
      </c>
      <c r="T279" s="21">
        <f t="shared" si="51"/>
        <v>0</v>
      </c>
      <c r="U279" s="20">
        <f t="shared" si="51"/>
        <v>0</v>
      </c>
      <c r="V279" s="22">
        <f t="shared" si="51"/>
        <v>0</v>
      </c>
      <c r="W279" s="22">
        <f t="shared" si="51"/>
        <v>0</v>
      </c>
      <c r="X279" s="21">
        <f t="shared" si="51"/>
        <v>0</v>
      </c>
      <c r="Y279" s="20">
        <f t="shared" si="51"/>
        <v>0</v>
      </c>
      <c r="Z279" s="19">
        <f t="shared" si="51"/>
        <v>0</v>
      </c>
      <c r="AA279" s="18"/>
    </row>
    <row r="280" spans="2:27">
      <c r="B280" s="12">
        <v>46266</v>
      </c>
      <c r="C280" s="15"/>
      <c r="D280" s="17"/>
      <c r="E280" s="17"/>
      <c r="F280" s="16">
        <f t="shared" ref="F280:F309" si="52">SUM(C280:E280)</f>
        <v>0</v>
      </c>
      <c r="G280" s="15"/>
      <c r="H280" s="17"/>
      <c r="I280" s="16">
        <f t="shared" ref="I280:I308" si="53">SUM(G280:H280)</f>
        <v>0</v>
      </c>
      <c r="J280" s="15"/>
      <c r="K280" s="16"/>
      <c r="L280" s="15"/>
      <c r="M280" s="16"/>
      <c r="N280" s="15"/>
      <c r="O280" s="17"/>
      <c r="P280" s="17"/>
      <c r="Q280" s="16" t="e">
        <f>O280/N280*100</f>
        <v>#DIV/0!</v>
      </c>
      <c r="R280" s="15"/>
      <c r="S280" s="17"/>
      <c r="T280" s="16"/>
      <c r="U280" s="15"/>
      <c r="V280" s="17"/>
      <c r="W280" s="17"/>
      <c r="X280" s="16"/>
      <c r="Y280" s="15"/>
      <c r="Z280" s="14"/>
      <c r="AA280" s="13" t="s">
        <v>176</v>
      </c>
    </row>
    <row r="281" spans="2:27">
      <c r="B281" s="12">
        <v>46267</v>
      </c>
      <c r="C281" s="9"/>
      <c r="D281" s="11"/>
      <c r="E281" s="11"/>
      <c r="F281" s="10">
        <f t="shared" si="52"/>
        <v>0</v>
      </c>
      <c r="G281" s="9"/>
      <c r="H281" s="11"/>
      <c r="I281" s="10">
        <f t="shared" si="53"/>
        <v>0</v>
      </c>
      <c r="J281" s="9"/>
      <c r="K281" s="10"/>
      <c r="L281" s="9"/>
      <c r="M281" s="10"/>
      <c r="N281" s="9"/>
      <c r="O281" s="11"/>
      <c r="P281" s="11"/>
      <c r="Q281" s="16" t="e">
        <f t="shared" ref="Q281:Q309" si="54">O281/N281*100</f>
        <v>#DIV/0!</v>
      </c>
      <c r="R281" s="9"/>
      <c r="S281" s="11"/>
      <c r="T281" s="10"/>
      <c r="U281" s="9"/>
      <c r="V281" s="11"/>
      <c r="W281" s="11"/>
      <c r="X281" s="10"/>
      <c r="Y281" s="9"/>
      <c r="Z281" s="8"/>
      <c r="AA281" s="102" t="s">
        <v>177</v>
      </c>
    </row>
    <row r="282" spans="2:27">
      <c r="B282" s="12">
        <v>46268</v>
      </c>
      <c r="C282" s="9"/>
      <c r="D282" s="11"/>
      <c r="E282" s="11"/>
      <c r="F282" s="10">
        <f t="shared" si="52"/>
        <v>0</v>
      </c>
      <c r="G282" s="9"/>
      <c r="H282" s="11"/>
      <c r="I282" s="10">
        <f t="shared" si="53"/>
        <v>0</v>
      </c>
      <c r="J282" s="9"/>
      <c r="K282" s="10"/>
      <c r="L282" s="9"/>
      <c r="M282" s="10"/>
      <c r="N282" s="9"/>
      <c r="O282" s="11"/>
      <c r="P282" s="11"/>
      <c r="Q282" s="16" t="e">
        <f t="shared" si="54"/>
        <v>#DIV/0!</v>
      </c>
      <c r="R282" s="9"/>
      <c r="S282" s="11"/>
      <c r="T282" s="10"/>
      <c r="U282" s="9"/>
      <c r="V282" s="11"/>
      <c r="W282" s="11"/>
      <c r="X282" s="10"/>
      <c r="Y282" s="9"/>
      <c r="Z282" s="8"/>
      <c r="AA282" s="13" t="s">
        <v>178</v>
      </c>
    </row>
    <row r="283" spans="2:27">
      <c r="B283" s="12">
        <v>46269</v>
      </c>
      <c r="C283" s="9"/>
      <c r="D283" s="11"/>
      <c r="E283" s="11"/>
      <c r="F283" s="10">
        <f t="shared" si="52"/>
        <v>0</v>
      </c>
      <c r="G283" s="9"/>
      <c r="H283" s="11"/>
      <c r="I283" s="10">
        <f t="shared" si="53"/>
        <v>0</v>
      </c>
      <c r="J283" s="9"/>
      <c r="K283" s="10"/>
      <c r="L283" s="9"/>
      <c r="M283" s="10"/>
      <c r="N283" s="9"/>
      <c r="O283" s="11"/>
      <c r="P283" s="11"/>
      <c r="Q283" s="16" t="e">
        <f t="shared" si="54"/>
        <v>#DIV/0!</v>
      </c>
      <c r="R283" s="9"/>
      <c r="S283" s="11"/>
      <c r="T283" s="10"/>
      <c r="U283" s="9"/>
      <c r="V283" s="11"/>
      <c r="W283" s="11"/>
      <c r="X283" s="10"/>
      <c r="Y283" s="9"/>
      <c r="Z283" s="8"/>
      <c r="AA283" s="102" t="s">
        <v>179</v>
      </c>
    </row>
    <row r="284" spans="2:27">
      <c r="B284" s="12">
        <v>46270</v>
      </c>
      <c r="C284" s="9"/>
      <c r="D284" s="11"/>
      <c r="E284" s="11"/>
      <c r="F284" s="10">
        <f t="shared" si="52"/>
        <v>0</v>
      </c>
      <c r="G284" s="9"/>
      <c r="H284" s="11"/>
      <c r="I284" s="10">
        <f t="shared" si="53"/>
        <v>0</v>
      </c>
      <c r="J284" s="9"/>
      <c r="K284" s="10"/>
      <c r="L284" s="9"/>
      <c r="M284" s="10"/>
      <c r="N284" s="9"/>
      <c r="O284" s="11"/>
      <c r="P284" s="11"/>
      <c r="Q284" s="10" t="e">
        <f t="shared" si="54"/>
        <v>#DIV/0!</v>
      </c>
      <c r="R284" s="9"/>
      <c r="S284" s="11"/>
      <c r="T284" s="10"/>
      <c r="U284" s="9"/>
      <c r="V284" s="11"/>
      <c r="W284" s="11"/>
      <c r="X284" s="10"/>
      <c r="Y284" s="9"/>
      <c r="Z284" s="8"/>
      <c r="AA284" s="13" t="s">
        <v>180</v>
      </c>
    </row>
    <row r="285" spans="2:27">
      <c r="B285" s="12">
        <v>46271</v>
      </c>
      <c r="C285" s="9"/>
      <c r="D285" s="11"/>
      <c r="E285" s="11"/>
      <c r="F285" s="10">
        <f t="shared" si="52"/>
        <v>0</v>
      </c>
      <c r="G285" s="9"/>
      <c r="H285" s="11"/>
      <c r="I285" s="10">
        <f t="shared" si="53"/>
        <v>0</v>
      </c>
      <c r="J285" s="9"/>
      <c r="K285" s="10"/>
      <c r="L285" s="9"/>
      <c r="M285" s="10"/>
      <c r="N285" s="9"/>
      <c r="O285" s="11"/>
      <c r="P285" s="11"/>
      <c r="Q285" s="10" t="e">
        <f t="shared" si="54"/>
        <v>#DIV/0!</v>
      </c>
      <c r="R285" s="9"/>
      <c r="S285" s="11"/>
      <c r="T285" s="10"/>
      <c r="U285" s="9"/>
      <c r="V285" s="11"/>
      <c r="W285" s="11"/>
      <c r="X285" s="10"/>
      <c r="Y285" s="9"/>
      <c r="Z285" s="8"/>
      <c r="AA285" s="102" t="s">
        <v>24</v>
      </c>
    </row>
    <row r="286" spans="2:27">
      <c r="B286" s="12">
        <v>46272</v>
      </c>
      <c r="C286" s="9"/>
      <c r="D286" s="11"/>
      <c r="E286" s="11"/>
      <c r="F286" s="10">
        <f t="shared" si="52"/>
        <v>0</v>
      </c>
      <c r="G286" s="9"/>
      <c r="H286" s="11"/>
      <c r="I286" s="10">
        <f t="shared" si="53"/>
        <v>0</v>
      </c>
      <c r="J286" s="9"/>
      <c r="K286" s="10"/>
      <c r="L286" s="9"/>
      <c r="M286" s="10"/>
      <c r="N286" s="9"/>
      <c r="O286" s="11"/>
      <c r="P286" s="11"/>
      <c r="Q286" s="10" t="e">
        <f t="shared" si="54"/>
        <v>#DIV/0!</v>
      </c>
      <c r="R286" s="9"/>
      <c r="S286" s="11"/>
      <c r="T286" s="10"/>
      <c r="U286" s="9"/>
      <c r="V286" s="11"/>
      <c r="W286" s="11"/>
      <c r="X286" s="10"/>
      <c r="Y286" s="9"/>
      <c r="Z286" s="8"/>
      <c r="AA286" s="13" t="s">
        <v>23</v>
      </c>
    </row>
    <row r="287" spans="2:27">
      <c r="B287" s="12">
        <v>46273</v>
      </c>
      <c r="C287" s="9"/>
      <c r="D287" s="11"/>
      <c r="E287" s="11"/>
      <c r="F287" s="10">
        <f t="shared" si="52"/>
        <v>0</v>
      </c>
      <c r="G287" s="9"/>
      <c r="H287" s="11"/>
      <c r="I287" s="10">
        <f t="shared" si="53"/>
        <v>0</v>
      </c>
      <c r="J287" s="9"/>
      <c r="K287" s="10"/>
      <c r="L287" s="9"/>
      <c r="M287" s="10"/>
      <c r="N287" s="9"/>
      <c r="O287" s="11"/>
      <c r="P287" s="11"/>
      <c r="Q287" s="10" t="e">
        <f t="shared" si="54"/>
        <v>#DIV/0!</v>
      </c>
      <c r="R287" s="9"/>
      <c r="S287" s="11"/>
      <c r="T287" s="10"/>
      <c r="U287" s="9"/>
      <c r="V287" s="11"/>
      <c r="W287" s="11"/>
      <c r="X287" s="10"/>
      <c r="Y287" s="9"/>
      <c r="Z287" s="8"/>
      <c r="AA287" s="102" t="s">
        <v>22</v>
      </c>
    </row>
    <row r="288" spans="2:27">
      <c r="B288" s="12">
        <v>46274</v>
      </c>
      <c r="C288" s="9"/>
      <c r="D288" s="11"/>
      <c r="E288" s="11"/>
      <c r="F288" s="10">
        <f t="shared" si="52"/>
        <v>0</v>
      </c>
      <c r="G288" s="9"/>
      <c r="H288" s="11"/>
      <c r="I288" s="10">
        <f t="shared" si="53"/>
        <v>0</v>
      </c>
      <c r="J288" s="9"/>
      <c r="K288" s="10"/>
      <c r="L288" s="9"/>
      <c r="M288" s="10"/>
      <c r="N288" s="9"/>
      <c r="O288" s="11"/>
      <c r="P288" s="11"/>
      <c r="Q288" s="10" t="e">
        <f t="shared" si="54"/>
        <v>#DIV/0!</v>
      </c>
      <c r="R288" s="9"/>
      <c r="S288" s="11"/>
      <c r="T288" s="10"/>
      <c r="U288" s="9"/>
      <c r="V288" s="11"/>
      <c r="W288" s="11"/>
      <c r="X288" s="10"/>
      <c r="Y288" s="9"/>
      <c r="Z288" s="8"/>
      <c r="AA288" s="13" t="s">
        <v>21</v>
      </c>
    </row>
    <row r="289" spans="2:27">
      <c r="B289" s="12">
        <v>46275</v>
      </c>
      <c r="C289" s="9"/>
      <c r="D289" s="11"/>
      <c r="E289" s="11"/>
      <c r="F289" s="10">
        <f t="shared" si="52"/>
        <v>0</v>
      </c>
      <c r="G289" s="9"/>
      <c r="H289" s="11"/>
      <c r="I289" s="10">
        <f t="shared" si="53"/>
        <v>0</v>
      </c>
      <c r="J289" s="9"/>
      <c r="K289" s="10"/>
      <c r="L289" s="9"/>
      <c r="M289" s="10"/>
      <c r="N289" s="9"/>
      <c r="O289" s="11"/>
      <c r="P289" s="11"/>
      <c r="Q289" s="10" t="e">
        <f t="shared" si="54"/>
        <v>#DIV/0!</v>
      </c>
      <c r="R289" s="9"/>
      <c r="S289" s="11"/>
      <c r="T289" s="10"/>
      <c r="U289" s="9"/>
      <c r="V289" s="11"/>
      <c r="W289" s="11"/>
      <c r="X289" s="10"/>
      <c r="Y289" s="9"/>
      <c r="Z289" s="8"/>
      <c r="AA289" s="7" t="s">
        <v>20</v>
      </c>
    </row>
    <row r="290" spans="2:27">
      <c r="B290" s="12">
        <v>46276</v>
      </c>
      <c r="C290" s="9"/>
      <c r="D290" s="11"/>
      <c r="E290" s="11"/>
      <c r="F290" s="10">
        <f t="shared" si="52"/>
        <v>0</v>
      </c>
      <c r="G290" s="9"/>
      <c r="H290" s="11"/>
      <c r="I290" s="10">
        <f t="shared" si="53"/>
        <v>0</v>
      </c>
      <c r="J290" s="9"/>
      <c r="K290" s="10"/>
      <c r="L290" s="9"/>
      <c r="M290" s="10"/>
      <c r="N290" s="9"/>
      <c r="O290" s="11"/>
      <c r="P290" s="11"/>
      <c r="Q290" s="10" t="e">
        <f t="shared" si="54"/>
        <v>#DIV/0!</v>
      </c>
      <c r="R290" s="9"/>
      <c r="S290" s="11"/>
      <c r="T290" s="10"/>
      <c r="U290" s="9"/>
      <c r="V290" s="11"/>
      <c r="W290" s="11"/>
      <c r="X290" s="10"/>
      <c r="Y290" s="9"/>
      <c r="Z290" s="8"/>
      <c r="AA290" s="7" t="s">
        <v>19</v>
      </c>
    </row>
    <row r="291" spans="2:27">
      <c r="B291" s="12">
        <v>46277</v>
      </c>
      <c r="C291" s="9"/>
      <c r="D291" s="11"/>
      <c r="E291" s="11"/>
      <c r="F291" s="10">
        <f t="shared" si="52"/>
        <v>0</v>
      </c>
      <c r="G291" s="9"/>
      <c r="H291" s="11"/>
      <c r="I291" s="10">
        <f t="shared" si="53"/>
        <v>0</v>
      </c>
      <c r="J291" s="9"/>
      <c r="K291" s="10"/>
      <c r="L291" s="9"/>
      <c r="M291" s="10"/>
      <c r="N291" s="9"/>
      <c r="O291" s="11"/>
      <c r="P291" s="11"/>
      <c r="Q291" s="10" t="e">
        <f t="shared" si="54"/>
        <v>#DIV/0!</v>
      </c>
      <c r="R291" s="9"/>
      <c r="S291" s="11"/>
      <c r="T291" s="10"/>
      <c r="U291" s="9"/>
      <c r="V291" s="11"/>
      <c r="W291" s="11"/>
      <c r="X291" s="10"/>
      <c r="Y291" s="9"/>
      <c r="Z291" s="8"/>
      <c r="AA291" s="7" t="s">
        <v>18</v>
      </c>
    </row>
    <row r="292" spans="2:27">
      <c r="B292" s="12">
        <v>46278</v>
      </c>
      <c r="C292" s="9"/>
      <c r="D292" s="11"/>
      <c r="E292" s="11"/>
      <c r="F292" s="10">
        <f t="shared" si="52"/>
        <v>0</v>
      </c>
      <c r="G292" s="9"/>
      <c r="H292" s="11"/>
      <c r="I292" s="10">
        <f t="shared" si="53"/>
        <v>0</v>
      </c>
      <c r="J292" s="9"/>
      <c r="K292" s="10"/>
      <c r="L292" s="9"/>
      <c r="M292" s="10"/>
      <c r="N292" s="9"/>
      <c r="O292" s="11"/>
      <c r="P292" s="11"/>
      <c r="Q292" s="10" t="e">
        <f t="shared" si="54"/>
        <v>#DIV/0!</v>
      </c>
      <c r="R292" s="9"/>
      <c r="S292" s="11"/>
      <c r="T292" s="10"/>
      <c r="U292" s="9"/>
      <c r="V292" s="11"/>
      <c r="W292" s="11"/>
      <c r="X292" s="10"/>
      <c r="Y292" s="9"/>
      <c r="Z292" s="8"/>
      <c r="AA292" s="7" t="s">
        <v>17</v>
      </c>
    </row>
    <row r="293" spans="2:27">
      <c r="B293" s="12">
        <v>46279</v>
      </c>
      <c r="C293" s="9"/>
      <c r="D293" s="11"/>
      <c r="E293" s="11"/>
      <c r="F293" s="10">
        <f t="shared" si="52"/>
        <v>0</v>
      </c>
      <c r="G293" s="9"/>
      <c r="H293" s="11"/>
      <c r="I293" s="10">
        <f t="shared" si="53"/>
        <v>0</v>
      </c>
      <c r="J293" s="9"/>
      <c r="K293" s="10"/>
      <c r="L293" s="9"/>
      <c r="M293" s="10"/>
      <c r="N293" s="9"/>
      <c r="O293" s="11"/>
      <c r="P293" s="11"/>
      <c r="Q293" s="10" t="e">
        <f t="shared" si="54"/>
        <v>#DIV/0!</v>
      </c>
      <c r="R293" s="9"/>
      <c r="S293" s="11"/>
      <c r="T293" s="10"/>
      <c r="U293" s="9"/>
      <c r="V293" s="11"/>
      <c r="W293" s="11"/>
      <c r="X293" s="10"/>
      <c r="Y293" s="9"/>
      <c r="Z293" s="8"/>
      <c r="AA293" s="7" t="s">
        <v>16</v>
      </c>
    </row>
    <row r="294" spans="2:27">
      <c r="B294" s="12">
        <v>46280</v>
      </c>
      <c r="C294" s="9"/>
      <c r="D294" s="11"/>
      <c r="E294" s="11"/>
      <c r="F294" s="10">
        <f t="shared" si="52"/>
        <v>0</v>
      </c>
      <c r="G294" s="9"/>
      <c r="H294" s="11"/>
      <c r="I294" s="10">
        <f t="shared" si="53"/>
        <v>0</v>
      </c>
      <c r="J294" s="9"/>
      <c r="K294" s="10"/>
      <c r="L294" s="9"/>
      <c r="M294" s="10"/>
      <c r="N294" s="9"/>
      <c r="O294" s="11"/>
      <c r="P294" s="11"/>
      <c r="Q294" s="10" t="e">
        <f t="shared" si="54"/>
        <v>#DIV/0!</v>
      </c>
      <c r="R294" s="9"/>
      <c r="S294" s="11"/>
      <c r="T294" s="10"/>
      <c r="U294" s="9"/>
      <c r="V294" s="11"/>
      <c r="W294" s="11"/>
      <c r="X294" s="10"/>
      <c r="Y294" s="9"/>
      <c r="Z294" s="8"/>
      <c r="AA294" s="7" t="s">
        <v>15</v>
      </c>
    </row>
    <row r="295" spans="2:27">
      <c r="B295" s="12">
        <v>46281</v>
      </c>
      <c r="C295" s="9"/>
      <c r="D295" s="11"/>
      <c r="E295" s="11"/>
      <c r="F295" s="10">
        <f t="shared" si="52"/>
        <v>0</v>
      </c>
      <c r="G295" s="9"/>
      <c r="H295" s="11"/>
      <c r="I295" s="10">
        <f t="shared" si="53"/>
        <v>0</v>
      </c>
      <c r="J295" s="9"/>
      <c r="K295" s="10"/>
      <c r="L295" s="9"/>
      <c r="M295" s="10"/>
      <c r="N295" s="9"/>
      <c r="O295" s="11"/>
      <c r="P295" s="11"/>
      <c r="Q295" s="10" t="e">
        <f t="shared" si="54"/>
        <v>#DIV/0!</v>
      </c>
      <c r="R295" s="9"/>
      <c r="S295" s="11"/>
      <c r="T295" s="10"/>
      <c r="U295" s="9"/>
      <c r="V295" s="11"/>
      <c r="W295" s="11"/>
      <c r="X295" s="10"/>
      <c r="Y295" s="9"/>
      <c r="Z295" s="8"/>
      <c r="AA295" s="7" t="s">
        <v>14</v>
      </c>
    </row>
    <row r="296" spans="2:27">
      <c r="B296" s="12">
        <v>46282</v>
      </c>
      <c r="C296" s="9"/>
      <c r="D296" s="11"/>
      <c r="E296" s="11"/>
      <c r="F296" s="10">
        <f t="shared" si="52"/>
        <v>0</v>
      </c>
      <c r="G296" s="9"/>
      <c r="H296" s="11"/>
      <c r="I296" s="10">
        <f t="shared" si="53"/>
        <v>0</v>
      </c>
      <c r="J296" s="9"/>
      <c r="K296" s="10"/>
      <c r="L296" s="9"/>
      <c r="M296" s="10"/>
      <c r="N296" s="9"/>
      <c r="O296" s="11"/>
      <c r="P296" s="11"/>
      <c r="Q296" s="10" t="e">
        <f t="shared" si="54"/>
        <v>#DIV/0!</v>
      </c>
      <c r="R296" s="9"/>
      <c r="S296" s="11"/>
      <c r="T296" s="10"/>
      <c r="U296" s="9"/>
      <c r="V296" s="11"/>
      <c r="W296" s="11"/>
      <c r="X296" s="10"/>
      <c r="Y296" s="9"/>
      <c r="Z296" s="8"/>
      <c r="AA296" s="7" t="s">
        <v>13</v>
      </c>
    </row>
    <row r="297" spans="2:27">
      <c r="B297" s="12">
        <v>46283</v>
      </c>
      <c r="C297" s="9"/>
      <c r="D297" s="11"/>
      <c r="E297" s="11"/>
      <c r="F297" s="10">
        <f t="shared" si="52"/>
        <v>0</v>
      </c>
      <c r="G297" s="9"/>
      <c r="H297" s="11"/>
      <c r="I297" s="10">
        <f t="shared" si="53"/>
        <v>0</v>
      </c>
      <c r="J297" s="9"/>
      <c r="K297" s="10"/>
      <c r="L297" s="9"/>
      <c r="M297" s="10"/>
      <c r="N297" s="9"/>
      <c r="O297" s="11"/>
      <c r="P297" s="11"/>
      <c r="Q297" s="10" t="e">
        <f t="shared" si="54"/>
        <v>#DIV/0!</v>
      </c>
      <c r="R297" s="9"/>
      <c r="S297" s="11"/>
      <c r="T297" s="10"/>
      <c r="U297" s="9"/>
      <c r="V297" s="11"/>
      <c r="W297" s="11"/>
      <c r="X297" s="10"/>
      <c r="Y297" s="9"/>
      <c r="Z297" s="8"/>
      <c r="AA297" s="7" t="s">
        <v>12</v>
      </c>
    </row>
    <row r="298" spans="2:27">
      <c r="B298" s="12">
        <v>46284</v>
      </c>
      <c r="C298" s="9"/>
      <c r="D298" s="11"/>
      <c r="E298" s="11"/>
      <c r="F298" s="10">
        <f t="shared" si="52"/>
        <v>0</v>
      </c>
      <c r="G298" s="9"/>
      <c r="H298" s="11"/>
      <c r="I298" s="10">
        <f t="shared" si="53"/>
        <v>0</v>
      </c>
      <c r="J298" s="9"/>
      <c r="K298" s="10"/>
      <c r="L298" s="9"/>
      <c r="M298" s="10"/>
      <c r="N298" s="9"/>
      <c r="O298" s="11"/>
      <c r="P298" s="11"/>
      <c r="Q298" s="10" t="e">
        <f t="shared" si="54"/>
        <v>#DIV/0!</v>
      </c>
      <c r="R298" s="9"/>
      <c r="S298" s="11"/>
      <c r="T298" s="10"/>
      <c r="U298" s="9"/>
      <c r="V298" s="11"/>
      <c r="W298" s="11"/>
      <c r="X298" s="10"/>
      <c r="Y298" s="9"/>
      <c r="Z298" s="8"/>
      <c r="AA298" s="7" t="s">
        <v>11</v>
      </c>
    </row>
    <row r="299" spans="2:27">
      <c r="B299" s="12">
        <v>46285</v>
      </c>
      <c r="C299" s="9"/>
      <c r="D299" s="11"/>
      <c r="E299" s="11"/>
      <c r="F299" s="10">
        <f t="shared" si="52"/>
        <v>0</v>
      </c>
      <c r="G299" s="9"/>
      <c r="H299" s="11"/>
      <c r="I299" s="10">
        <f t="shared" si="53"/>
        <v>0</v>
      </c>
      <c r="J299" s="9"/>
      <c r="K299" s="10"/>
      <c r="L299" s="9"/>
      <c r="M299" s="10"/>
      <c r="N299" s="9"/>
      <c r="O299" s="11"/>
      <c r="P299" s="11"/>
      <c r="Q299" s="10" t="e">
        <f t="shared" si="54"/>
        <v>#DIV/0!</v>
      </c>
      <c r="R299" s="9"/>
      <c r="S299" s="11"/>
      <c r="T299" s="10"/>
      <c r="U299" s="9"/>
      <c r="V299" s="11"/>
      <c r="W299" s="11"/>
      <c r="X299" s="10"/>
      <c r="Y299" s="9"/>
      <c r="Z299" s="8"/>
      <c r="AA299" s="7" t="s">
        <v>10</v>
      </c>
    </row>
    <row r="300" spans="2:27">
      <c r="B300" s="12">
        <v>46286</v>
      </c>
      <c r="C300" s="9"/>
      <c r="D300" s="11"/>
      <c r="E300" s="11"/>
      <c r="F300" s="10">
        <f t="shared" si="52"/>
        <v>0</v>
      </c>
      <c r="G300" s="9"/>
      <c r="H300" s="11"/>
      <c r="I300" s="10">
        <f t="shared" si="53"/>
        <v>0</v>
      </c>
      <c r="J300" s="9"/>
      <c r="K300" s="10"/>
      <c r="L300" s="9"/>
      <c r="M300" s="10"/>
      <c r="N300" s="9"/>
      <c r="O300" s="11"/>
      <c r="P300" s="11"/>
      <c r="Q300" s="10" t="e">
        <f t="shared" si="54"/>
        <v>#DIV/0!</v>
      </c>
      <c r="R300" s="9"/>
      <c r="S300" s="11"/>
      <c r="T300" s="10"/>
      <c r="U300" s="9"/>
      <c r="V300" s="11"/>
      <c r="W300" s="11"/>
      <c r="X300" s="10"/>
      <c r="Y300" s="9"/>
      <c r="Z300" s="8"/>
      <c r="AA300" s="7" t="s">
        <v>9</v>
      </c>
    </row>
    <row r="301" spans="2:27">
      <c r="B301" s="12">
        <v>46287</v>
      </c>
      <c r="C301" s="9"/>
      <c r="D301" s="11"/>
      <c r="E301" s="11"/>
      <c r="F301" s="10">
        <f t="shared" si="52"/>
        <v>0</v>
      </c>
      <c r="G301" s="9"/>
      <c r="H301" s="11"/>
      <c r="I301" s="10">
        <f t="shared" si="53"/>
        <v>0</v>
      </c>
      <c r="J301" s="9"/>
      <c r="K301" s="10"/>
      <c r="L301" s="9"/>
      <c r="M301" s="10"/>
      <c r="N301" s="9"/>
      <c r="O301" s="11"/>
      <c r="P301" s="11"/>
      <c r="Q301" s="10" t="e">
        <f t="shared" si="54"/>
        <v>#DIV/0!</v>
      </c>
      <c r="R301" s="9"/>
      <c r="S301" s="11"/>
      <c r="T301" s="10"/>
      <c r="U301" s="9"/>
      <c r="V301" s="11"/>
      <c r="W301" s="11"/>
      <c r="X301" s="10"/>
      <c r="Y301" s="9"/>
      <c r="Z301" s="8"/>
      <c r="AA301" s="7" t="s">
        <v>8</v>
      </c>
    </row>
    <row r="302" spans="2:27">
      <c r="B302" s="12">
        <v>46288</v>
      </c>
      <c r="C302" s="9"/>
      <c r="D302" s="11"/>
      <c r="E302" s="11"/>
      <c r="F302" s="10">
        <f t="shared" si="52"/>
        <v>0</v>
      </c>
      <c r="G302" s="9"/>
      <c r="H302" s="11"/>
      <c r="I302" s="10">
        <f t="shared" si="53"/>
        <v>0</v>
      </c>
      <c r="J302" s="9"/>
      <c r="K302" s="10"/>
      <c r="L302" s="9"/>
      <c r="M302" s="10"/>
      <c r="N302" s="9"/>
      <c r="O302" s="11"/>
      <c r="P302" s="11"/>
      <c r="Q302" s="10" t="e">
        <f t="shared" si="54"/>
        <v>#DIV/0!</v>
      </c>
      <c r="R302" s="9"/>
      <c r="S302" s="11"/>
      <c r="T302" s="10"/>
      <c r="U302" s="9"/>
      <c r="V302" s="11"/>
      <c r="W302" s="11"/>
      <c r="X302" s="10"/>
      <c r="Y302" s="9"/>
      <c r="Z302" s="8"/>
      <c r="AA302" s="7" t="s">
        <v>7</v>
      </c>
    </row>
    <row r="303" spans="2:27">
      <c r="B303" s="12">
        <v>46289</v>
      </c>
      <c r="C303" s="9"/>
      <c r="D303" s="11"/>
      <c r="E303" s="11"/>
      <c r="F303" s="10">
        <f t="shared" si="52"/>
        <v>0</v>
      </c>
      <c r="G303" s="9"/>
      <c r="H303" s="11"/>
      <c r="I303" s="10">
        <f t="shared" si="53"/>
        <v>0</v>
      </c>
      <c r="J303" s="9"/>
      <c r="K303" s="10"/>
      <c r="L303" s="9"/>
      <c r="M303" s="10"/>
      <c r="N303" s="9"/>
      <c r="O303" s="11"/>
      <c r="P303" s="11"/>
      <c r="Q303" s="10" t="e">
        <f t="shared" si="54"/>
        <v>#DIV/0!</v>
      </c>
      <c r="R303" s="9"/>
      <c r="S303" s="11"/>
      <c r="T303" s="10"/>
      <c r="U303" s="9"/>
      <c r="V303" s="11"/>
      <c r="W303" s="11"/>
      <c r="X303" s="10"/>
      <c r="Y303" s="9"/>
      <c r="Z303" s="8"/>
      <c r="AA303" s="7" t="s">
        <v>6</v>
      </c>
    </row>
    <row r="304" spans="2:27">
      <c r="B304" s="12">
        <v>46290</v>
      </c>
      <c r="C304" s="9"/>
      <c r="D304" s="11"/>
      <c r="E304" s="11"/>
      <c r="F304" s="10">
        <f t="shared" si="52"/>
        <v>0</v>
      </c>
      <c r="G304" s="9"/>
      <c r="H304" s="11"/>
      <c r="I304" s="10">
        <f t="shared" si="53"/>
        <v>0</v>
      </c>
      <c r="J304" s="9"/>
      <c r="K304" s="10"/>
      <c r="L304" s="9"/>
      <c r="M304" s="10"/>
      <c r="N304" s="9"/>
      <c r="O304" s="11"/>
      <c r="P304" s="11"/>
      <c r="Q304" s="10" t="e">
        <f t="shared" si="54"/>
        <v>#DIV/0!</v>
      </c>
      <c r="R304" s="9"/>
      <c r="S304" s="11"/>
      <c r="T304" s="10"/>
      <c r="U304" s="9"/>
      <c r="V304" s="11"/>
      <c r="W304" s="11"/>
      <c r="X304" s="10"/>
      <c r="Y304" s="9"/>
      <c r="Z304" s="8"/>
      <c r="AA304" s="7" t="s">
        <v>5</v>
      </c>
    </row>
    <row r="305" spans="2:27">
      <c r="B305" s="12">
        <v>46291</v>
      </c>
      <c r="C305" s="9"/>
      <c r="D305" s="11"/>
      <c r="E305" s="11"/>
      <c r="F305" s="10">
        <f t="shared" si="52"/>
        <v>0</v>
      </c>
      <c r="G305" s="9"/>
      <c r="H305" s="11"/>
      <c r="I305" s="10">
        <f t="shared" si="53"/>
        <v>0</v>
      </c>
      <c r="J305" s="9"/>
      <c r="K305" s="10"/>
      <c r="L305" s="9"/>
      <c r="M305" s="10"/>
      <c r="N305" s="9"/>
      <c r="O305" s="11"/>
      <c r="P305" s="11"/>
      <c r="Q305" s="10" t="e">
        <f t="shared" si="54"/>
        <v>#DIV/0!</v>
      </c>
      <c r="R305" s="9"/>
      <c r="S305" s="11"/>
      <c r="T305" s="10"/>
      <c r="U305" s="9"/>
      <c r="V305" s="11"/>
      <c r="W305" s="11"/>
      <c r="X305" s="10"/>
      <c r="Y305" s="9"/>
      <c r="Z305" s="8"/>
      <c r="AA305" s="7" t="s">
        <v>4</v>
      </c>
    </row>
    <row r="306" spans="2:27">
      <c r="B306" s="12">
        <v>46292</v>
      </c>
      <c r="C306" s="9"/>
      <c r="D306" s="11"/>
      <c r="E306" s="11"/>
      <c r="F306" s="10">
        <f t="shared" si="52"/>
        <v>0</v>
      </c>
      <c r="G306" s="9"/>
      <c r="H306" s="11"/>
      <c r="I306" s="10">
        <f t="shared" si="53"/>
        <v>0</v>
      </c>
      <c r="J306" s="9"/>
      <c r="K306" s="10"/>
      <c r="L306" s="9"/>
      <c r="M306" s="10"/>
      <c r="N306" s="9"/>
      <c r="O306" s="11"/>
      <c r="P306" s="11"/>
      <c r="Q306" s="10" t="e">
        <f t="shared" si="54"/>
        <v>#DIV/0!</v>
      </c>
      <c r="R306" s="9"/>
      <c r="S306" s="11"/>
      <c r="T306" s="10"/>
      <c r="U306" s="9"/>
      <c r="V306" s="11"/>
      <c r="W306" s="11"/>
      <c r="X306" s="10"/>
      <c r="Y306" s="9"/>
      <c r="Z306" s="8"/>
      <c r="AA306" s="7" t="s">
        <v>3</v>
      </c>
    </row>
    <row r="307" spans="2:27">
      <c r="B307" s="12">
        <v>46293</v>
      </c>
      <c r="C307" s="9"/>
      <c r="D307" s="11"/>
      <c r="E307" s="11"/>
      <c r="F307" s="10">
        <f t="shared" si="52"/>
        <v>0</v>
      </c>
      <c r="G307" s="9"/>
      <c r="H307" s="11"/>
      <c r="I307" s="10">
        <f t="shared" si="53"/>
        <v>0</v>
      </c>
      <c r="J307" s="9"/>
      <c r="K307" s="10"/>
      <c r="L307" s="9"/>
      <c r="M307" s="10"/>
      <c r="N307" s="9"/>
      <c r="O307" s="11"/>
      <c r="P307" s="11"/>
      <c r="Q307" s="10" t="e">
        <f t="shared" si="54"/>
        <v>#DIV/0!</v>
      </c>
      <c r="R307" s="9"/>
      <c r="S307" s="11"/>
      <c r="T307" s="10"/>
      <c r="U307" s="9"/>
      <c r="V307" s="11"/>
      <c r="W307" s="11"/>
      <c r="X307" s="10"/>
      <c r="Y307" s="9"/>
      <c r="Z307" s="8"/>
      <c r="AA307" s="7" t="s">
        <v>2</v>
      </c>
    </row>
    <row r="308" spans="2:27">
      <c r="B308" s="12">
        <v>46294</v>
      </c>
      <c r="C308" s="9"/>
      <c r="D308" s="11"/>
      <c r="E308" s="11"/>
      <c r="F308" s="10">
        <f t="shared" si="52"/>
        <v>0</v>
      </c>
      <c r="G308" s="9"/>
      <c r="H308" s="11"/>
      <c r="I308" s="10">
        <f t="shared" si="53"/>
        <v>0</v>
      </c>
      <c r="J308" s="9"/>
      <c r="K308" s="10"/>
      <c r="L308" s="9"/>
      <c r="M308" s="10"/>
      <c r="N308" s="9"/>
      <c r="O308" s="11"/>
      <c r="P308" s="11"/>
      <c r="Q308" s="10" t="e">
        <f t="shared" si="54"/>
        <v>#DIV/0!</v>
      </c>
      <c r="R308" s="9"/>
      <c r="S308" s="11"/>
      <c r="T308" s="10"/>
      <c r="U308" s="9"/>
      <c r="V308" s="11"/>
      <c r="W308" s="11"/>
      <c r="X308" s="10"/>
      <c r="Y308" s="9"/>
      <c r="Z308" s="8"/>
      <c r="AA308" s="7" t="s">
        <v>1</v>
      </c>
    </row>
    <row r="309" spans="2:27" ht="17.25" thickBot="1">
      <c r="B309" s="6">
        <v>46295</v>
      </c>
      <c r="C309" s="3"/>
      <c r="D309" s="5"/>
      <c r="E309" s="5"/>
      <c r="F309" s="4">
        <f t="shared" si="52"/>
        <v>0</v>
      </c>
      <c r="G309" s="3"/>
      <c r="H309" s="5"/>
      <c r="I309" s="4">
        <f>SUM(G309:H309)</f>
        <v>0</v>
      </c>
      <c r="J309" s="3"/>
      <c r="K309" s="4"/>
      <c r="L309" s="3"/>
      <c r="M309" s="4"/>
      <c r="N309" s="3"/>
      <c r="O309" s="5"/>
      <c r="P309" s="5"/>
      <c r="Q309" s="4" t="e">
        <f t="shared" si="54"/>
        <v>#DIV/0!</v>
      </c>
      <c r="R309" s="3"/>
      <c r="S309" s="5"/>
      <c r="T309" s="4"/>
      <c r="U309" s="3"/>
      <c r="V309" s="5"/>
      <c r="W309" s="5"/>
      <c r="X309" s="4"/>
      <c r="Y309" s="3"/>
      <c r="Z309" s="2"/>
      <c r="AA309" s="1" t="s">
        <v>0</v>
      </c>
    </row>
    <row r="310" spans="2:27" ht="17.25" thickBot="1">
      <c r="Y310" s="165"/>
      <c r="Z310" s="165"/>
    </row>
    <row r="311" spans="2:27" ht="21.75" thickBot="1">
      <c r="B311" s="194"/>
      <c r="C311" s="196" t="s">
        <v>68</v>
      </c>
      <c r="D311" s="197"/>
      <c r="E311" s="197"/>
      <c r="F311" s="198"/>
      <c r="G311" s="199" t="s">
        <v>67</v>
      </c>
      <c r="H311" s="200"/>
      <c r="I311" s="201"/>
      <c r="J311" s="196" t="s">
        <v>66</v>
      </c>
      <c r="K311" s="198"/>
      <c r="L311" s="202" t="s">
        <v>65</v>
      </c>
      <c r="M311" s="198"/>
      <c r="N311" s="203" t="s">
        <v>64</v>
      </c>
      <c r="O311" s="204"/>
      <c r="P311" s="204"/>
      <c r="Q311" s="205"/>
      <c r="R311" s="196" t="s">
        <v>63</v>
      </c>
      <c r="S311" s="197"/>
      <c r="T311" s="198"/>
      <c r="U311" s="196" t="s">
        <v>62</v>
      </c>
      <c r="V311" s="197"/>
      <c r="W311" s="197"/>
      <c r="X311" s="198"/>
      <c r="Y311" s="196" t="s">
        <v>61</v>
      </c>
      <c r="Z311" s="197"/>
      <c r="AA311" s="192" t="s">
        <v>49</v>
      </c>
    </row>
    <row r="312" spans="2:27" ht="20.25" thickBot="1">
      <c r="B312" s="195"/>
      <c r="C312" s="25" t="s">
        <v>48</v>
      </c>
      <c r="D312" s="27" t="s">
        <v>47</v>
      </c>
      <c r="E312" s="27" t="s">
        <v>46</v>
      </c>
      <c r="F312" s="26" t="s">
        <v>45</v>
      </c>
      <c r="G312" s="25" t="s">
        <v>43</v>
      </c>
      <c r="H312" s="27" t="s">
        <v>42</v>
      </c>
      <c r="I312" s="26" t="s">
        <v>44</v>
      </c>
      <c r="J312" s="25" t="s">
        <v>43</v>
      </c>
      <c r="K312" s="26" t="s">
        <v>42</v>
      </c>
      <c r="L312" s="25" t="s">
        <v>43</v>
      </c>
      <c r="M312" s="26" t="s">
        <v>42</v>
      </c>
      <c r="N312" s="31" t="s">
        <v>41</v>
      </c>
      <c r="O312" s="30" t="s">
        <v>40</v>
      </c>
      <c r="P312" s="30" t="s">
        <v>39</v>
      </c>
      <c r="Q312" s="29" t="s">
        <v>38</v>
      </c>
      <c r="R312" s="108" t="s">
        <v>143</v>
      </c>
      <c r="S312" s="107" t="s">
        <v>144</v>
      </c>
      <c r="T312" s="26" t="s">
        <v>37</v>
      </c>
      <c r="U312" s="25" t="s">
        <v>36</v>
      </c>
      <c r="V312" s="28" t="s">
        <v>35</v>
      </c>
      <c r="W312" s="27" t="s">
        <v>34</v>
      </c>
      <c r="X312" s="26" t="s">
        <v>33</v>
      </c>
      <c r="Y312" s="25" t="s">
        <v>32</v>
      </c>
      <c r="Z312" s="24" t="s">
        <v>31</v>
      </c>
      <c r="AA312" s="193"/>
    </row>
    <row r="313" spans="2:27" ht="21.75" thickBot="1">
      <c r="B313" s="23" t="s">
        <v>159</v>
      </c>
      <c r="C313" s="20">
        <f t="shared" ref="C313:E313" si="55">SUM(C314:C344)</f>
        <v>0</v>
      </c>
      <c r="D313" s="22">
        <f t="shared" si="55"/>
        <v>0</v>
      </c>
      <c r="E313" s="22">
        <f t="shared" si="55"/>
        <v>0</v>
      </c>
      <c r="F313" s="21">
        <f>SUM(F314:F344)</f>
        <v>0</v>
      </c>
      <c r="G313" s="20">
        <f t="shared" ref="G313:I313" si="56">SUM(G314:G344)</f>
        <v>0</v>
      </c>
      <c r="H313" s="22">
        <f t="shared" si="56"/>
        <v>0</v>
      </c>
      <c r="I313" s="21">
        <f t="shared" si="56"/>
        <v>0</v>
      </c>
      <c r="J313" s="20">
        <f>IFERROR(AVERAGE(J314:J344),0)</f>
        <v>0</v>
      </c>
      <c r="K313" s="21">
        <f>IFERROR(AVERAGE(K314:K344),0)</f>
        <v>0</v>
      </c>
      <c r="L313" s="20">
        <f>IFERROR(AVERAGE(L314:L344),0)</f>
        <v>0</v>
      </c>
      <c r="M313" s="21">
        <f>IFERROR(AVERAGE(M314:M344),0)</f>
        <v>0</v>
      </c>
      <c r="N313" s="20">
        <f>SUM(N314:N344)</f>
        <v>0</v>
      </c>
      <c r="O313" s="22">
        <f>SUM(O314:O344)</f>
        <v>0</v>
      </c>
      <c r="P313" s="22">
        <f>SUM(P314:P344)</f>
        <v>0</v>
      </c>
      <c r="Q313" s="21">
        <f t="shared" ref="Q313:Q344" si="57">IFERROR(O313/N313*100,0)</f>
        <v>0</v>
      </c>
      <c r="R313" s="20">
        <f t="shared" ref="R313:X313" si="58">SUM(R314:R344)</f>
        <v>0</v>
      </c>
      <c r="S313" s="22">
        <f t="shared" si="58"/>
        <v>0</v>
      </c>
      <c r="T313" s="21">
        <f t="shared" si="58"/>
        <v>0</v>
      </c>
      <c r="U313" s="20">
        <f t="shared" si="58"/>
        <v>0</v>
      </c>
      <c r="V313" s="22">
        <f t="shared" si="58"/>
        <v>0</v>
      </c>
      <c r="W313" s="22">
        <f t="shared" si="58"/>
        <v>0</v>
      </c>
      <c r="X313" s="21">
        <f t="shared" si="58"/>
        <v>0</v>
      </c>
      <c r="Y313" s="20">
        <f>SUM(Y314:Y344)</f>
        <v>0</v>
      </c>
      <c r="Z313" s="19">
        <f t="shared" ref="Z313" si="59">SUM(Z314:Z344)</f>
        <v>0</v>
      </c>
      <c r="AA313" s="18"/>
    </row>
    <row r="314" spans="2:27">
      <c r="B314" s="32">
        <v>46296</v>
      </c>
      <c r="C314" s="142"/>
      <c r="D314" s="143"/>
      <c r="E314" s="143"/>
      <c r="F314" s="144">
        <f>SUM(C314:E314)</f>
        <v>0</v>
      </c>
      <c r="G314" s="142"/>
      <c r="H314" s="143"/>
      <c r="I314" s="144">
        <f>SUM(G314:H314)</f>
        <v>0</v>
      </c>
      <c r="J314" s="142"/>
      <c r="K314" s="144"/>
      <c r="L314" s="142"/>
      <c r="M314" s="144"/>
      <c r="N314" s="142"/>
      <c r="O314" s="143"/>
      <c r="P314" s="143"/>
      <c r="Q314" s="144">
        <f t="shared" si="57"/>
        <v>0</v>
      </c>
      <c r="R314" s="142"/>
      <c r="S314" s="143"/>
      <c r="T314" s="144"/>
      <c r="U314" s="142"/>
      <c r="V314" s="143"/>
      <c r="W314" s="143"/>
      <c r="X314" s="144"/>
      <c r="Y314" s="142"/>
      <c r="Z314" s="148"/>
      <c r="AA314" s="13" t="s">
        <v>176</v>
      </c>
    </row>
    <row r="315" spans="2:27">
      <c r="B315" s="12">
        <v>46297</v>
      </c>
      <c r="C315" s="9"/>
      <c r="D315" s="11"/>
      <c r="E315" s="11"/>
      <c r="F315" s="16">
        <f t="shared" ref="F315" si="60">SUM(C315:E315)</f>
        <v>0</v>
      </c>
      <c r="G315" s="9"/>
      <c r="H315" s="11"/>
      <c r="I315" s="16">
        <f t="shared" ref="I315:I316" si="61">SUM(G315:H315)</f>
        <v>0</v>
      </c>
      <c r="J315" s="9"/>
      <c r="K315" s="10"/>
      <c r="L315" s="9"/>
      <c r="M315" s="10"/>
      <c r="N315" s="9"/>
      <c r="O315" s="11"/>
      <c r="P315" s="11"/>
      <c r="Q315" s="16">
        <f t="shared" si="57"/>
        <v>0</v>
      </c>
      <c r="R315" s="9"/>
      <c r="S315" s="11"/>
      <c r="T315" s="10"/>
      <c r="U315" s="9"/>
      <c r="V315" s="11"/>
      <c r="W315" s="11"/>
      <c r="X315" s="10"/>
      <c r="Y315" s="9"/>
      <c r="Z315" s="8"/>
      <c r="AA315" s="102" t="s">
        <v>177</v>
      </c>
    </row>
    <row r="316" spans="2:27">
      <c r="B316" s="12">
        <v>46298</v>
      </c>
      <c r="C316" s="9"/>
      <c r="D316" s="11"/>
      <c r="E316" s="11"/>
      <c r="F316" s="16">
        <f>SUM(C316:E316)</f>
        <v>0</v>
      </c>
      <c r="G316" s="9"/>
      <c r="H316" s="11"/>
      <c r="I316" s="16">
        <f t="shared" si="61"/>
        <v>0</v>
      </c>
      <c r="J316" s="9"/>
      <c r="K316" s="10"/>
      <c r="L316" s="9"/>
      <c r="M316" s="10"/>
      <c r="N316" s="9"/>
      <c r="O316" s="11"/>
      <c r="P316" s="11"/>
      <c r="Q316" s="16">
        <f t="shared" si="57"/>
        <v>0</v>
      </c>
      <c r="R316" s="9"/>
      <c r="S316" s="11"/>
      <c r="T316" s="10"/>
      <c r="U316" s="9"/>
      <c r="V316" s="11"/>
      <c r="W316" s="11"/>
      <c r="X316" s="10"/>
      <c r="Y316" s="9"/>
      <c r="Z316" s="8"/>
      <c r="AA316" s="13" t="s">
        <v>178</v>
      </c>
    </row>
    <row r="317" spans="2:27">
      <c r="B317" s="12">
        <v>46299</v>
      </c>
      <c r="C317" s="9"/>
      <c r="D317" s="11"/>
      <c r="E317" s="11"/>
      <c r="F317" s="16">
        <f t="shared" ref="F317:F344" si="62">SUM(C317:E317)</f>
        <v>0</v>
      </c>
      <c r="G317" s="9"/>
      <c r="H317" s="11"/>
      <c r="I317" s="16">
        <f>SUM(G317:H317)</f>
        <v>0</v>
      </c>
      <c r="J317" s="9"/>
      <c r="K317" s="10"/>
      <c r="L317" s="9"/>
      <c r="M317" s="10"/>
      <c r="N317" s="9"/>
      <c r="O317" s="11"/>
      <c r="P317" s="11"/>
      <c r="Q317" s="16">
        <f t="shared" si="57"/>
        <v>0</v>
      </c>
      <c r="R317" s="9"/>
      <c r="S317" s="11"/>
      <c r="T317" s="10"/>
      <c r="U317" s="9"/>
      <c r="V317" s="11"/>
      <c r="W317" s="11"/>
      <c r="X317" s="10"/>
      <c r="Y317" s="9"/>
      <c r="Z317" s="8"/>
      <c r="AA317" s="102" t="s">
        <v>179</v>
      </c>
    </row>
    <row r="318" spans="2:27">
      <c r="B318" s="12">
        <v>46300</v>
      </c>
      <c r="C318" s="9"/>
      <c r="D318" s="11"/>
      <c r="E318" s="11"/>
      <c r="F318" s="16">
        <f t="shared" si="62"/>
        <v>0</v>
      </c>
      <c r="G318" s="9"/>
      <c r="H318" s="11"/>
      <c r="I318" s="16">
        <f t="shared" ref="I318:I344" si="63">SUM(G318:H318)</f>
        <v>0</v>
      </c>
      <c r="J318" s="9"/>
      <c r="K318" s="10"/>
      <c r="L318" s="9"/>
      <c r="M318" s="10"/>
      <c r="N318" s="9"/>
      <c r="O318" s="11"/>
      <c r="P318" s="11"/>
      <c r="Q318" s="10">
        <f t="shared" si="57"/>
        <v>0</v>
      </c>
      <c r="R318" s="9"/>
      <c r="S318" s="11"/>
      <c r="T318" s="10"/>
      <c r="U318" s="9"/>
      <c r="V318" s="11"/>
      <c r="W318" s="11"/>
      <c r="X318" s="10"/>
      <c r="Y318" s="9"/>
      <c r="Z318" s="8"/>
      <c r="AA318" s="13" t="s">
        <v>180</v>
      </c>
    </row>
    <row r="319" spans="2:27">
      <c r="B319" s="12">
        <v>46301</v>
      </c>
      <c r="C319" s="9"/>
      <c r="D319" s="11"/>
      <c r="E319" s="11"/>
      <c r="F319" s="16">
        <f t="shared" si="62"/>
        <v>0</v>
      </c>
      <c r="G319" s="9"/>
      <c r="H319" s="11"/>
      <c r="I319" s="16">
        <f t="shared" si="63"/>
        <v>0</v>
      </c>
      <c r="J319" s="9"/>
      <c r="K319" s="10"/>
      <c r="L319" s="9"/>
      <c r="M319" s="10"/>
      <c r="N319" s="9"/>
      <c r="O319" s="11"/>
      <c r="P319" s="11"/>
      <c r="Q319" s="10">
        <f t="shared" si="57"/>
        <v>0</v>
      </c>
      <c r="R319" s="9"/>
      <c r="S319" s="11"/>
      <c r="T319" s="10"/>
      <c r="U319" s="9"/>
      <c r="V319" s="11"/>
      <c r="W319" s="11"/>
      <c r="X319" s="10"/>
      <c r="Y319" s="9"/>
      <c r="Z319" s="8"/>
      <c r="AA319" s="102" t="s">
        <v>24</v>
      </c>
    </row>
    <row r="320" spans="2:27">
      <c r="B320" s="12">
        <v>46302</v>
      </c>
      <c r="C320" s="9"/>
      <c r="D320" s="11"/>
      <c r="E320" s="11"/>
      <c r="F320" s="16">
        <f t="shared" si="62"/>
        <v>0</v>
      </c>
      <c r="G320" s="9"/>
      <c r="H320" s="11"/>
      <c r="I320" s="16">
        <f t="shared" si="63"/>
        <v>0</v>
      </c>
      <c r="J320" s="9"/>
      <c r="K320" s="10"/>
      <c r="L320" s="9"/>
      <c r="M320" s="10"/>
      <c r="N320" s="9"/>
      <c r="O320" s="11"/>
      <c r="P320" s="11"/>
      <c r="Q320" s="10">
        <f t="shared" si="57"/>
        <v>0</v>
      </c>
      <c r="R320" s="9"/>
      <c r="S320" s="11"/>
      <c r="T320" s="10"/>
      <c r="U320" s="9"/>
      <c r="V320" s="11"/>
      <c r="W320" s="11"/>
      <c r="X320" s="10"/>
      <c r="Y320" s="9"/>
      <c r="Z320" s="8"/>
      <c r="AA320" s="7" t="s">
        <v>23</v>
      </c>
    </row>
    <row r="321" spans="2:27">
      <c r="B321" s="12">
        <v>46303</v>
      </c>
      <c r="C321" s="9"/>
      <c r="D321" s="11"/>
      <c r="E321" s="11"/>
      <c r="F321" s="16">
        <f t="shared" si="62"/>
        <v>0</v>
      </c>
      <c r="G321" s="9"/>
      <c r="H321" s="11"/>
      <c r="I321" s="16">
        <f t="shared" si="63"/>
        <v>0</v>
      </c>
      <c r="J321" s="9"/>
      <c r="K321" s="10"/>
      <c r="L321" s="9"/>
      <c r="M321" s="10"/>
      <c r="N321" s="9"/>
      <c r="O321" s="11"/>
      <c r="P321" s="11"/>
      <c r="Q321" s="10">
        <f t="shared" si="57"/>
        <v>0</v>
      </c>
      <c r="R321" s="9"/>
      <c r="S321" s="11"/>
      <c r="T321" s="10"/>
      <c r="U321" s="9"/>
      <c r="V321" s="11"/>
      <c r="W321" s="11"/>
      <c r="X321" s="10"/>
      <c r="Y321" s="9"/>
      <c r="Z321" s="8"/>
      <c r="AA321" s="7" t="s">
        <v>22</v>
      </c>
    </row>
    <row r="322" spans="2:27">
      <c r="B322" s="12">
        <v>46304</v>
      </c>
      <c r="C322" s="9"/>
      <c r="D322" s="11"/>
      <c r="E322" s="11"/>
      <c r="F322" s="16">
        <f t="shared" si="62"/>
        <v>0</v>
      </c>
      <c r="G322" s="9"/>
      <c r="H322" s="11"/>
      <c r="I322" s="16">
        <f t="shared" si="63"/>
        <v>0</v>
      </c>
      <c r="J322" s="9"/>
      <c r="K322" s="10"/>
      <c r="L322" s="9"/>
      <c r="M322" s="10"/>
      <c r="N322" s="9"/>
      <c r="O322" s="11"/>
      <c r="P322" s="11"/>
      <c r="Q322" s="10">
        <f t="shared" si="57"/>
        <v>0</v>
      </c>
      <c r="R322" s="9"/>
      <c r="S322" s="11"/>
      <c r="T322" s="10"/>
      <c r="U322" s="9"/>
      <c r="V322" s="11"/>
      <c r="W322" s="11"/>
      <c r="X322" s="10"/>
      <c r="Y322" s="9"/>
      <c r="Z322" s="8"/>
      <c r="AA322" s="7" t="s">
        <v>21</v>
      </c>
    </row>
    <row r="323" spans="2:27">
      <c r="B323" s="12">
        <v>46305</v>
      </c>
      <c r="C323" s="9"/>
      <c r="D323" s="11"/>
      <c r="E323" s="11"/>
      <c r="F323" s="16">
        <f t="shared" si="62"/>
        <v>0</v>
      </c>
      <c r="G323" s="9"/>
      <c r="H323" s="11"/>
      <c r="I323" s="16">
        <f t="shared" si="63"/>
        <v>0</v>
      </c>
      <c r="J323" s="9"/>
      <c r="K323" s="10"/>
      <c r="L323" s="9"/>
      <c r="M323" s="10"/>
      <c r="N323" s="9"/>
      <c r="O323" s="11"/>
      <c r="P323" s="11"/>
      <c r="Q323" s="10">
        <f t="shared" si="57"/>
        <v>0</v>
      </c>
      <c r="R323" s="9"/>
      <c r="S323" s="11"/>
      <c r="T323" s="10"/>
      <c r="U323" s="9"/>
      <c r="V323" s="11"/>
      <c r="W323" s="11"/>
      <c r="X323" s="10"/>
      <c r="Y323" s="9"/>
      <c r="Z323" s="8"/>
      <c r="AA323" s="7" t="s">
        <v>20</v>
      </c>
    </row>
    <row r="324" spans="2:27">
      <c r="B324" s="12">
        <v>46306</v>
      </c>
      <c r="C324" s="9"/>
      <c r="D324" s="11"/>
      <c r="E324" s="11"/>
      <c r="F324" s="16">
        <f t="shared" si="62"/>
        <v>0</v>
      </c>
      <c r="G324" s="9"/>
      <c r="H324" s="11"/>
      <c r="I324" s="16">
        <f t="shared" si="63"/>
        <v>0</v>
      </c>
      <c r="J324" s="9"/>
      <c r="K324" s="10"/>
      <c r="L324" s="9"/>
      <c r="M324" s="10"/>
      <c r="N324" s="9"/>
      <c r="O324" s="11"/>
      <c r="P324" s="11"/>
      <c r="Q324" s="10">
        <f t="shared" si="57"/>
        <v>0</v>
      </c>
      <c r="R324" s="9"/>
      <c r="S324" s="11"/>
      <c r="T324" s="10"/>
      <c r="U324" s="9"/>
      <c r="V324" s="11"/>
      <c r="W324" s="11"/>
      <c r="X324" s="10"/>
      <c r="Y324" s="9"/>
      <c r="Z324" s="8"/>
      <c r="AA324" s="7" t="s">
        <v>19</v>
      </c>
    </row>
    <row r="325" spans="2:27">
      <c r="B325" s="12">
        <v>46307</v>
      </c>
      <c r="C325" s="9"/>
      <c r="D325" s="11"/>
      <c r="E325" s="11"/>
      <c r="F325" s="16">
        <f t="shared" si="62"/>
        <v>0</v>
      </c>
      <c r="G325" s="9"/>
      <c r="H325" s="11"/>
      <c r="I325" s="16">
        <f t="shared" si="63"/>
        <v>0</v>
      </c>
      <c r="J325" s="9"/>
      <c r="K325" s="10"/>
      <c r="L325" s="9"/>
      <c r="M325" s="10"/>
      <c r="N325" s="9"/>
      <c r="O325" s="11"/>
      <c r="P325" s="11"/>
      <c r="Q325" s="10">
        <f t="shared" si="57"/>
        <v>0</v>
      </c>
      <c r="R325" s="9"/>
      <c r="S325" s="11"/>
      <c r="T325" s="10"/>
      <c r="U325" s="9"/>
      <c r="V325" s="11"/>
      <c r="W325" s="11"/>
      <c r="X325" s="10"/>
      <c r="Y325" s="9"/>
      <c r="Z325" s="8"/>
      <c r="AA325" s="7" t="s">
        <v>18</v>
      </c>
    </row>
    <row r="326" spans="2:27">
      <c r="B326" s="12">
        <v>46308</v>
      </c>
      <c r="C326" s="9"/>
      <c r="D326" s="11"/>
      <c r="E326" s="11"/>
      <c r="F326" s="16">
        <f t="shared" si="62"/>
        <v>0</v>
      </c>
      <c r="G326" s="9"/>
      <c r="H326" s="11"/>
      <c r="I326" s="16">
        <f t="shared" si="63"/>
        <v>0</v>
      </c>
      <c r="J326" s="9"/>
      <c r="K326" s="10"/>
      <c r="L326" s="9"/>
      <c r="M326" s="10"/>
      <c r="N326" s="9"/>
      <c r="O326" s="11"/>
      <c r="P326" s="11"/>
      <c r="Q326" s="10">
        <f t="shared" si="57"/>
        <v>0</v>
      </c>
      <c r="R326" s="9"/>
      <c r="S326" s="11"/>
      <c r="T326" s="10"/>
      <c r="U326" s="9"/>
      <c r="V326" s="11"/>
      <c r="W326" s="11"/>
      <c r="X326" s="10"/>
      <c r="Y326" s="9"/>
      <c r="Z326" s="8"/>
      <c r="AA326" s="7" t="s">
        <v>17</v>
      </c>
    </row>
    <row r="327" spans="2:27">
      <c r="B327" s="12">
        <v>46309</v>
      </c>
      <c r="C327" s="9"/>
      <c r="D327" s="11"/>
      <c r="E327" s="11"/>
      <c r="F327" s="16">
        <f t="shared" si="62"/>
        <v>0</v>
      </c>
      <c r="G327" s="9"/>
      <c r="H327" s="11"/>
      <c r="I327" s="16">
        <f t="shared" si="63"/>
        <v>0</v>
      </c>
      <c r="J327" s="9"/>
      <c r="K327" s="10"/>
      <c r="L327" s="9"/>
      <c r="M327" s="10"/>
      <c r="N327" s="9"/>
      <c r="O327" s="11"/>
      <c r="P327" s="11"/>
      <c r="Q327" s="10">
        <f t="shared" si="57"/>
        <v>0</v>
      </c>
      <c r="R327" s="9"/>
      <c r="S327" s="11"/>
      <c r="T327" s="10"/>
      <c r="U327" s="9"/>
      <c r="V327" s="11"/>
      <c r="W327" s="11"/>
      <c r="X327" s="10"/>
      <c r="Y327" s="9"/>
      <c r="Z327" s="8"/>
      <c r="AA327" s="7" t="s">
        <v>16</v>
      </c>
    </row>
    <row r="328" spans="2:27">
      <c r="B328" s="12">
        <v>46310</v>
      </c>
      <c r="C328" s="9"/>
      <c r="D328" s="11"/>
      <c r="E328" s="11"/>
      <c r="F328" s="16">
        <f t="shared" si="62"/>
        <v>0</v>
      </c>
      <c r="G328" s="9"/>
      <c r="H328" s="11"/>
      <c r="I328" s="16">
        <f t="shared" si="63"/>
        <v>0</v>
      </c>
      <c r="J328" s="9"/>
      <c r="K328" s="10"/>
      <c r="L328" s="9"/>
      <c r="M328" s="10"/>
      <c r="N328" s="9"/>
      <c r="O328" s="11"/>
      <c r="P328" s="11"/>
      <c r="Q328" s="10">
        <f t="shared" si="57"/>
        <v>0</v>
      </c>
      <c r="R328" s="9"/>
      <c r="S328" s="11"/>
      <c r="T328" s="10"/>
      <c r="U328" s="9"/>
      <c r="V328" s="11"/>
      <c r="W328" s="11"/>
      <c r="X328" s="10"/>
      <c r="Y328" s="9"/>
      <c r="Z328" s="8"/>
      <c r="AA328" s="7" t="s">
        <v>15</v>
      </c>
    </row>
    <row r="329" spans="2:27">
      <c r="B329" s="12">
        <v>46311</v>
      </c>
      <c r="C329" s="9"/>
      <c r="D329" s="11"/>
      <c r="E329" s="11"/>
      <c r="F329" s="16">
        <f t="shared" si="62"/>
        <v>0</v>
      </c>
      <c r="G329" s="9"/>
      <c r="H329" s="11"/>
      <c r="I329" s="16">
        <f t="shared" si="63"/>
        <v>0</v>
      </c>
      <c r="J329" s="9"/>
      <c r="K329" s="10"/>
      <c r="L329" s="9"/>
      <c r="M329" s="10"/>
      <c r="N329" s="9"/>
      <c r="O329" s="11"/>
      <c r="P329" s="11"/>
      <c r="Q329" s="10">
        <f t="shared" si="57"/>
        <v>0</v>
      </c>
      <c r="R329" s="9"/>
      <c r="S329" s="11"/>
      <c r="T329" s="10"/>
      <c r="U329" s="9"/>
      <c r="V329" s="11"/>
      <c r="W329" s="11"/>
      <c r="X329" s="10"/>
      <c r="Y329" s="9"/>
      <c r="Z329" s="8"/>
      <c r="AA329" s="7" t="s">
        <v>14</v>
      </c>
    </row>
    <row r="330" spans="2:27">
      <c r="B330" s="12">
        <v>46312</v>
      </c>
      <c r="C330" s="9"/>
      <c r="D330" s="11"/>
      <c r="E330" s="11"/>
      <c r="F330" s="16">
        <f t="shared" si="62"/>
        <v>0</v>
      </c>
      <c r="G330" s="9"/>
      <c r="H330" s="11"/>
      <c r="I330" s="16">
        <f t="shared" si="63"/>
        <v>0</v>
      </c>
      <c r="J330" s="9"/>
      <c r="K330" s="10"/>
      <c r="L330" s="9"/>
      <c r="M330" s="10"/>
      <c r="N330" s="9"/>
      <c r="O330" s="11"/>
      <c r="P330" s="11"/>
      <c r="Q330" s="10">
        <f t="shared" si="57"/>
        <v>0</v>
      </c>
      <c r="R330" s="9"/>
      <c r="S330" s="11"/>
      <c r="T330" s="10"/>
      <c r="U330" s="9"/>
      <c r="V330" s="11"/>
      <c r="W330" s="161"/>
      <c r="X330" s="10"/>
      <c r="Y330" s="9"/>
      <c r="Z330" s="8"/>
      <c r="AA330" s="7" t="s">
        <v>13</v>
      </c>
    </row>
    <row r="331" spans="2:27">
      <c r="B331" s="12">
        <v>46313</v>
      </c>
      <c r="C331" s="9"/>
      <c r="D331" s="11"/>
      <c r="E331" s="11"/>
      <c r="F331" s="16">
        <f t="shared" si="62"/>
        <v>0</v>
      </c>
      <c r="G331" s="9"/>
      <c r="H331" s="11"/>
      <c r="I331" s="16">
        <f t="shared" si="63"/>
        <v>0</v>
      </c>
      <c r="J331" s="9"/>
      <c r="K331" s="10"/>
      <c r="L331" s="9"/>
      <c r="M331" s="10"/>
      <c r="N331" s="9"/>
      <c r="O331" s="11"/>
      <c r="P331" s="11"/>
      <c r="Q331" s="10">
        <f t="shared" si="57"/>
        <v>0</v>
      </c>
      <c r="R331" s="9"/>
      <c r="S331" s="11"/>
      <c r="T331" s="10"/>
      <c r="U331" s="9"/>
      <c r="V331" s="11"/>
      <c r="W331" s="11"/>
      <c r="X331" s="10"/>
      <c r="Y331" s="9"/>
      <c r="Z331" s="8"/>
      <c r="AA331" s="7" t="s">
        <v>12</v>
      </c>
    </row>
    <row r="332" spans="2:27">
      <c r="B332" s="12">
        <v>46314</v>
      </c>
      <c r="C332" s="9"/>
      <c r="D332" s="11"/>
      <c r="E332" s="11"/>
      <c r="F332" s="16">
        <f t="shared" si="62"/>
        <v>0</v>
      </c>
      <c r="G332" s="9"/>
      <c r="H332" s="11"/>
      <c r="I332" s="16">
        <f t="shared" si="63"/>
        <v>0</v>
      </c>
      <c r="J332" s="9"/>
      <c r="K332" s="10"/>
      <c r="L332" s="9"/>
      <c r="M332" s="10"/>
      <c r="N332" s="9"/>
      <c r="O332" s="11"/>
      <c r="P332" s="11"/>
      <c r="Q332" s="10">
        <f t="shared" si="57"/>
        <v>0</v>
      </c>
      <c r="R332" s="9"/>
      <c r="S332" s="11"/>
      <c r="T332" s="10"/>
      <c r="U332" s="9"/>
      <c r="V332" s="11"/>
      <c r="W332" s="11"/>
      <c r="X332" s="10"/>
      <c r="Y332" s="9"/>
      <c r="Z332" s="8"/>
      <c r="AA332" s="7" t="s">
        <v>11</v>
      </c>
    </row>
    <row r="333" spans="2:27">
      <c r="B333" s="12">
        <v>46315</v>
      </c>
      <c r="C333" s="9"/>
      <c r="D333" s="11"/>
      <c r="E333" s="11"/>
      <c r="F333" s="16">
        <f t="shared" si="62"/>
        <v>0</v>
      </c>
      <c r="G333" s="9"/>
      <c r="H333" s="11"/>
      <c r="I333" s="16">
        <f t="shared" si="63"/>
        <v>0</v>
      </c>
      <c r="J333" s="9"/>
      <c r="K333" s="10"/>
      <c r="L333" s="9"/>
      <c r="M333" s="10"/>
      <c r="N333" s="9"/>
      <c r="O333" s="11"/>
      <c r="P333" s="11"/>
      <c r="Q333" s="10">
        <f t="shared" si="57"/>
        <v>0</v>
      </c>
      <c r="R333" s="9"/>
      <c r="S333" s="11"/>
      <c r="T333" s="10"/>
      <c r="U333" s="9"/>
      <c r="V333" s="11"/>
      <c r="W333" s="11"/>
      <c r="X333" s="10"/>
      <c r="Y333" s="9"/>
      <c r="Z333" s="8"/>
      <c r="AA333" s="7" t="s">
        <v>10</v>
      </c>
    </row>
    <row r="334" spans="2:27">
      <c r="B334" s="12">
        <v>46316</v>
      </c>
      <c r="C334" s="9"/>
      <c r="D334" s="11"/>
      <c r="E334" s="11"/>
      <c r="F334" s="16">
        <f t="shared" si="62"/>
        <v>0</v>
      </c>
      <c r="G334" s="9"/>
      <c r="H334" s="11"/>
      <c r="I334" s="16">
        <f t="shared" si="63"/>
        <v>0</v>
      </c>
      <c r="J334" s="9"/>
      <c r="K334" s="10"/>
      <c r="L334" s="9"/>
      <c r="M334" s="10"/>
      <c r="N334" s="9"/>
      <c r="O334" s="11"/>
      <c r="P334" s="11"/>
      <c r="Q334" s="10">
        <f t="shared" si="57"/>
        <v>0</v>
      </c>
      <c r="R334" s="9"/>
      <c r="S334" s="11"/>
      <c r="T334" s="10"/>
      <c r="U334" s="9"/>
      <c r="V334" s="11"/>
      <c r="W334" s="11"/>
      <c r="X334" s="10"/>
      <c r="Y334" s="9"/>
      <c r="Z334" s="8"/>
      <c r="AA334" s="7" t="s">
        <v>9</v>
      </c>
    </row>
    <row r="335" spans="2:27">
      <c r="B335" s="12">
        <v>46317</v>
      </c>
      <c r="C335" s="9"/>
      <c r="D335" s="11"/>
      <c r="E335" s="11"/>
      <c r="F335" s="16">
        <f t="shared" si="62"/>
        <v>0</v>
      </c>
      <c r="G335" s="9"/>
      <c r="H335" s="11"/>
      <c r="I335" s="16">
        <f t="shared" si="63"/>
        <v>0</v>
      </c>
      <c r="J335" s="9"/>
      <c r="K335" s="10"/>
      <c r="L335" s="9"/>
      <c r="M335" s="10"/>
      <c r="N335" s="9"/>
      <c r="O335" s="11"/>
      <c r="P335" s="11"/>
      <c r="Q335" s="10">
        <f t="shared" si="57"/>
        <v>0</v>
      </c>
      <c r="R335" s="9"/>
      <c r="S335" s="11"/>
      <c r="T335" s="10"/>
      <c r="U335" s="9"/>
      <c r="V335" s="11"/>
      <c r="W335" s="11"/>
      <c r="X335" s="10"/>
      <c r="Y335" s="9"/>
      <c r="Z335" s="8"/>
      <c r="AA335" s="7" t="s">
        <v>8</v>
      </c>
    </row>
    <row r="336" spans="2:27">
      <c r="B336" s="12">
        <v>46318</v>
      </c>
      <c r="C336" s="9"/>
      <c r="D336" s="11"/>
      <c r="E336" s="11"/>
      <c r="F336" s="16">
        <f t="shared" si="62"/>
        <v>0</v>
      </c>
      <c r="G336" s="9"/>
      <c r="H336" s="11"/>
      <c r="I336" s="16">
        <f t="shared" si="63"/>
        <v>0</v>
      </c>
      <c r="J336" s="9"/>
      <c r="K336" s="10"/>
      <c r="L336" s="9"/>
      <c r="M336" s="10"/>
      <c r="N336" s="9"/>
      <c r="O336" s="11"/>
      <c r="P336" s="11"/>
      <c r="Q336" s="10">
        <f t="shared" si="57"/>
        <v>0</v>
      </c>
      <c r="R336" s="9"/>
      <c r="S336" s="11"/>
      <c r="T336" s="10"/>
      <c r="U336" s="9"/>
      <c r="V336" s="11"/>
      <c r="W336" s="11"/>
      <c r="X336" s="10"/>
      <c r="Y336" s="9"/>
      <c r="Z336" s="8"/>
      <c r="AA336" s="7" t="s">
        <v>7</v>
      </c>
    </row>
    <row r="337" spans="2:27">
      <c r="B337" s="12">
        <v>46319</v>
      </c>
      <c r="C337" s="9"/>
      <c r="D337" s="11"/>
      <c r="E337" s="11"/>
      <c r="F337" s="16">
        <f t="shared" si="62"/>
        <v>0</v>
      </c>
      <c r="G337" s="9"/>
      <c r="H337" s="11"/>
      <c r="I337" s="16">
        <f t="shared" si="63"/>
        <v>0</v>
      </c>
      <c r="J337" s="9"/>
      <c r="K337" s="10"/>
      <c r="L337" s="9"/>
      <c r="M337" s="10"/>
      <c r="N337" s="9"/>
      <c r="O337" s="11"/>
      <c r="P337" s="11"/>
      <c r="Q337" s="10">
        <f t="shared" si="57"/>
        <v>0</v>
      </c>
      <c r="R337" s="9"/>
      <c r="S337" s="11"/>
      <c r="T337" s="10"/>
      <c r="U337" s="9"/>
      <c r="V337" s="11"/>
      <c r="W337" s="11"/>
      <c r="X337" s="10"/>
      <c r="Y337" s="9"/>
      <c r="Z337" s="8"/>
      <c r="AA337" s="7" t="s">
        <v>6</v>
      </c>
    </row>
    <row r="338" spans="2:27">
      <c r="B338" s="12">
        <v>46320</v>
      </c>
      <c r="C338" s="9"/>
      <c r="D338" s="11"/>
      <c r="E338" s="11"/>
      <c r="F338" s="16">
        <f t="shared" si="62"/>
        <v>0</v>
      </c>
      <c r="G338" s="9"/>
      <c r="H338" s="11"/>
      <c r="I338" s="16">
        <f t="shared" si="63"/>
        <v>0</v>
      </c>
      <c r="J338" s="9"/>
      <c r="K338" s="10"/>
      <c r="L338" s="9"/>
      <c r="M338" s="10"/>
      <c r="N338" s="9"/>
      <c r="O338" s="11"/>
      <c r="P338" s="11"/>
      <c r="Q338" s="10">
        <f t="shared" si="57"/>
        <v>0</v>
      </c>
      <c r="R338" s="9"/>
      <c r="S338" s="11"/>
      <c r="T338" s="10"/>
      <c r="U338" s="9"/>
      <c r="V338" s="11"/>
      <c r="W338" s="11"/>
      <c r="X338" s="10"/>
      <c r="Y338" s="9"/>
      <c r="Z338" s="8"/>
      <c r="AA338" s="7" t="s">
        <v>5</v>
      </c>
    </row>
    <row r="339" spans="2:27">
      <c r="B339" s="12">
        <v>46321</v>
      </c>
      <c r="C339" s="9"/>
      <c r="D339" s="11"/>
      <c r="E339" s="11"/>
      <c r="F339" s="16">
        <f t="shared" si="62"/>
        <v>0</v>
      </c>
      <c r="G339" s="9"/>
      <c r="H339" s="11"/>
      <c r="I339" s="16">
        <f t="shared" si="63"/>
        <v>0</v>
      </c>
      <c r="J339" s="9"/>
      <c r="K339" s="10"/>
      <c r="L339" s="9"/>
      <c r="M339" s="10"/>
      <c r="N339" s="9"/>
      <c r="O339" s="11"/>
      <c r="P339" s="11"/>
      <c r="Q339" s="10">
        <f t="shared" si="57"/>
        <v>0</v>
      </c>
      <c r="R339" s="9"/>
      <c r="S339" s="11"/>
      <c r="T339" s="10"/>
      <c r="U339" s="9"/>
      <c r="V339" s="11"/>
      <c r="W339" s="11"/>
      <c r="X339" s="10"/>
      <c r="Y339" s="9"/>
      <c r="Z339" s="8"/>
      <c r="AA339" s="7" t="s">
        <v>4</v>
      </c>
    </row>
    <row r="340" spans="2:27">
      <c r="B340" s="12">
        <v>46322</v>
      </c>
      <c r="C340" s="9"/>
      <c r="D340" s="11"/>
      <c r="E340" s="11"/>
      <c r="F340" s="16">
        <f t="shared" si="62"/>
        <v>0</v>
      </c>
      <c r="G340" s="9"/>
      <c r="H340" s="11"/>
      <c r="I340" s="16">
        <f t="shared" si="63"/>
        <v>0</v>
      </c>
      <c r="J340" s="9"/>
      <c r="K340" s="10"/>
      <c r="L340" s="9"/>
      <c r="M340" s="10"/>
      <c r="N340" s="9"/>
      <c r="O340" s="11"/>
      <c r="P340" s="11"/>
      <c r="Q340" s="10">
        <f t="shared" si="57"/>
        <v>0</v>
      </c>
      <c r="R340" s="9"/>
      <c r="S340" s="11"/>
      <c r="T340" s="10"/>
      <c r="U340" s="9"/>
      <c r="V340" s="11"/>
      <c r="W340" s="11"/>
      <c r="X340" s="10"/>
      <c r="Y340" s="9"/>
      <c r="Z340" s="8"/>
      <c r="AA340" s="7" t="s">
        <v>3</v>
      </c>
    </row>
    <row r="341" spans="2:27">
      <c r="B341" s="12">
        <v>46323</v>
      </c>
      <c r="C341" s="9"/>
      <c r="D341" s="11"/>
      <c r="E341" s="11"/>
      <c r="F341" s="16">
        <f t="shared" si="62"/>
        <v>0</v>
      </c>
      <c r="G341" s="9"/>
      <c r="H341" s="11"/>
      <c r="I341" s="16">
        <f t="shared" si="63"/>
        <v>0</v>
      </c>
      <c r="J341" s="9"/>
      <c r="K341" s="10"/>
      <c r="L341" s="9"/>
      <c r="M341" s="10"/>
      <c r="N341" s="162"/>
      <c r="O341" s="161"/>
      <c r="P341" s="161"/>
      <c r="Q341" s="163">
        <f t="shared" si="57"/>
        <v>0</v>
      </c>
      <c r="R341" s="9"/>
      <c r="S341" s="11"/>
      <c r="T341" s="10"/>
      <c r="U341" s="9"/>
      <c r="V341" s="11"/>
      <c r="W341" s="11"/>
      <c r="X341" s="10"/>
      <c r="Y341" s="9"/>
      <c r="Z341" s="8"/>
      <c r="AA341" s="7" t="s">
        <v>2</v>
      </c>
    </row>
    <row r="342" spans="2:27">
      <c r="B342" s="12">
        <v>46324</v>
      </c>
      <c r="C342" s="9"/>
      <c r="D342" s="11"/>
      <c r="E342" s="11"/>
      <c r="F342" s="16">
        <f t="shared" si="62"/>
        <v>0</v>
      </c>
      <c r="G342" s="9"/>
      <c r="H342" s="11"/>
      <c r="I342" s="16">
        <f t="shared" si="63"/>
        <v>0</v>
      </c>
      <c r="J342" s="9"/>
      <c r="K342" s="10"/>
      <c r="L342" s="9"/>
      <c r="M342" s="10"/>
      <c r="N342" s="9"/>
      <c r="O342" s="11"/>
      <c r="P342" s="11"/>
      <c r="Q342" s="10">
        <f t="shared" si="57"/>
        <v>0</v>
      </c>
      <c r="R342" s="9"/>
      <c r="S342" s="11"/>
      <c r="T342" s="10"/>
      <c r="U342" s="9"/>
      <c r="V342" s="11"/>
      <c r="W342" s="11"/>
      <c r="X342" s="10"/>
      <c r="Y342" s="9"/>
      <c r="Z342" s="8"/>
      <c r="AA342" s="7" t="s">
        <v>1</v>
      </c>
    </row>
    <row r="343" spans="2:27">
      <c r="B343" s="12">
        <v>46325</v>
      </c>
      <c r="C343" s="9"/>
      <c r="D343" s="11"/>
      <c r="E343" s="11"/>
      <c r="F343" s="16">
        <f t="shared" si="62"/>
        <v>0</v>
      </c>
      <c r="G343" s="9"/>
      <c r="H343" s="11"/>
      <c r="I343" s="16">
        <f t="shared" si="63"/>
        <v>0</v>
      </c>
      <c r="J343" s="9"/>
      <c r="K343" s="10"/>
      <c r="L343" s="9"/>
      <c r="M343" s="10"/>
      <c r="N343" s="9"/>
      <c r="O343" s="11"/>
      <c r="P343" s="11"/>
      <c r="Q343" s="10">
        <f t="shared" si="57"/>
        <v>0</v>
      </c>
      <c r="R343" s="9"/>
      <c r="S343" s="11"/>
      <c r="T343" s="10"/>
      <c r="U343" s="9"/>
      <c r="V343" s="11"/>
      <c r="W343" s="11"/>
      <c r="X343" s="10"/>
      <c r="Y343" s="9"/>
      <c r="Z343" s="8"/>
      <c r="AA343" s="7" t="s">
        <v>59</v>
      </c>
    </row>
    <row r="344" spans="2:27" ht="17.25" thickBot="1">
      <c r="B344" s="6">
        <v>46326</v>
      </c>
      <c r="C344" s="3"/>
      <c r="D344" s="5"/>
      <c r="E344" s="5"/>
      <c r="F344" s="160">
        <f t="shared" si="62"/>
        <v>0</v>
      </c>
      <c r="G344" s="3"/>
      <c r="H344" s="5"/>
      <c r="I344" s="160">
        <f t="shared" si="63"/>
        <v>0</v>
      </c>
      <c r="J344" s="3"/>
      <c r="K344" s="4"/>
      <c r="L344" s="3"/>
      <c r="M344" s="4"/>
      <c r="N344" s="3"/>
      <c r="O344" s="5"/>
      <c r="P344" s="5"/>
      <c r="Q344" s="4">
        <f t="shared" si="57"/>
        <v>0</v>
      </c>
      <c r="R344" s="3"/>
      <c r="S344" s="5"/>
      <c r="T344" s="4"/>
      <c r="U344" s="3"/>
      <c r="V344" s="5"/>
      <c r="W344" s="5"/>
      <c r="X344" s="4"/>
      <c r="Y344" s="3"/>
      <c r="Z344" s="2"/>
      <c r="AA344" s="1" t="s">
        <v>58</v>
      </c>
    </row>
    <row r="345" spans="2:27" ht="17.25" thickBot="1"/>
    <row r="346" spans="2:27" ht="20.25" thickBot="1">
      <c r="B346" s="194"/>
      <c r="C346" s="206" t="s">
        <v>57</v>
      </c>
      <c r="D346" s="207"/>
      <c r="E346" s="207"/>
      <c r="F346" s="208"/>
      <c r="G346" s="209" t="s">
        <v>56</v>
      </c>
      <c r="H346" s="210"/>
      <c r="I346" s="211"/>
      <c r="J346" s="206" t="s">
        <v>55</v>
      </c>
      <c r="K346" s="208"/>
      <c r="L346" s="212" t="s">
        <v>54</v>
      </c>
      <c r="M346" s="208"/>
      <c r="N346" s="213" t="s">
        <v>53</v>
      </c>
      <c r="O346" s="214"/>
      <c r="P346" s="214"/>
      <c r="Q346" s="215"/>
      <c r="R346" s="206" t="s">
        <v>52</v>
      </c>
      <c r="S346" s="207"/>
      <c r="T346" s="208"/>
      <c r="U346" s="206" t="s">
        <v>51</v>
      </c>
      <c r="V346" s="207"/>
      <c r="W346" s="207"/>
      <c r="X346" s="208"/>
      <c r="Y346" s="206" t="s">
        <v>50</v>
      </c>
      <c r="Z346" s="207"/>
      <c r="AA346" s="192" t="s">
        <v>49</v>
      </c>
    </row>
    <row r="347" spans="2:27" ht="20.25" thickBot="1">
      <c r="B347" s="195"/>
      <c r="C347" s="25" t="s">
        <v>48</v>
      </c>
      <c r="D347" s="27" t="s">
        <v>47</v>
      </c>
      <c r="E347" s="27" t="s">
        <v>46</v>
      </c>
      <c r="F347" s="26" t="s">
        <v>45</v>
      </c>
      <c r="G347" s="25" t="s">
        <v>43</v>
      </c>
      <c r="H347" s="27" t="s">
        <v>42</v>
      </c>
      <c r="I347" s="26" t="s">
        <v>44</v>
      </c>
      <c r="J347" s="25" t="s">
        <v>43</v>
      </c>
      <c r="K347" s="26" t="s">
        <v>42</v>
      </c>
      <c r="L347" s="25" t="s">
        <v>43</v>
      </c>
      <c r="M347" s="26" t="s">
        <v>42</v>
      </c>
      <c r="N347" s="31" t="s">
        <v>41</v>
      </c>
      <c r="O347" s="30" t="s">
        <v>40</v>
      </c>
      <c r="P347" s="30" t="s">
        <v>39</v>
      </c>
      <c r="Q347" s="29" t="s">
        <v>38</v>
      </c>
      <c r="R347" s="108" t="s">
        <v>143</v>
      </c>
      <c r="S347" s="107" t="s">
        <v>144</v>
      </c>
      <c r="T347" s="26" t="s">
        <v>37</v>
      </c>
      <c r="U347" s="25" t="s">
        <v>36</v>
      </c>
      <c r="V347" s="28" t="s">
        <v>35</v>
      </c>
      <c r="W347" s="27" t="s">
        <v>34</v>
      </c>
      <c r="X347" s="26" t="s">
        <v>33</v>
      </c>
      <c r="Y347" s="25" t="s">
        <v>32</v>
      </c>
      <c r="Z347" s="24" t="s">
        <v>31</v>
      </c>
      <c r="AA347" s="193"/>
    </row>
    <row r="348" spans="2:27" ht="21.75" thickBot="1">
      <c r="B348" s="23" t="s">
        <v>161</v>
      </c>
      <c r="C348" s="20">
        <f t="shared" ref="C348:I348" si="64">SUM(C349:C378)</f>
        <v>0</v>
      </c>
      <c r="D348" s="22">
        <f t="shared" si="64"/>
        <v>0</v>
      </c>
      <c r="E348" s="22">
        <f t="shared" si="64"/>
        <v>0</v>
      </c>
      <c r="F348" s="21">
        <f t="shared" si="64"/>
        <v>0</v>
      </c>
      <c r="G348" s="20">
        <f t="shared" si="64"/>
        <v>0</v>
      </c>
      <c r="H348" s="22">
        <f t="shared" si="64"/>
        <v>0</v>
      </c>
      <c r="I348" s="21">
        <f t="shared" si="64"/>
        <v>0</v>
      </c>
      <c r="J348" s="20">
        <f>IFERROR(AVERAGE(J349:J378),0)</f>
        <v>0</v>
      </c>
      <c r="K348" s="21">
        <f>IFERROR(AVERAGE(K349:K378),0)</f>
        <v>0</v>
      </c>
      <c r="L348" s="20">
        <f>IFERROR(AVERAGE(L349:L378),0)</f>
        <v>0</v>
      </c>
      <c r="M348" s="21">
        <f>IFERROR(AVERAGE(M349:M378),0)</f>
        <v>0</v>
      </c>
      <c r="N348" s="20">
        <f>SUM(N349:N378)</f>
        <v>0</v>
      </c>
      <c r="O348" s="22">
        <f>SUM(O349:O378)</f>
        <v>0</v>
      </c>
      <c r="P348" s="22">
        <f>SUM(P349:P378)</f>
        <v>0</v>
      </c>
      <c r="Q348" s="21">
        <f>IFERROR(O348/N348*100,0)</f>
        <v>0</v>
      </c>
      <c r="R348" s="20">
        <f t="shared" ref="R348:Z348" si="65">SUM(R349:R378)</f>
        <v>0</v>
      </c>
      <c r="S348" s="22">
        <f t="shared" si="65"/>
        <v>0</v>
      </c>
      <c r="T348" s="21">
        <f t="shared" si="65"/>
        <v>0</v>
      </c>
      <c r="U348" s="20">
        <f t="shared" si="65"/>
        <v>0</v>
      </c>
      <c r="V348" s="22">
        <f t="shared" si="65"/>
        <v>0</v>
      </c>
      <c r="W348" s="22">
        <f t="shared" si="65"/>
        <v>0</v>
      </c>
      <c r="X348" s="21">
        <f t="shared" si="65"/>
        <v>0</v>
      </c>
      <c r="Y348" s="20">
        <f t="shared" si="65"/>
        <v>0</v>
      </c>
      <c r="Z348" s="19">
        <f t="shared" si="65"/>
        <v>0</v>
      </c>
      <c r="AA348" s="18"/>
    </row>
    <row r="349" spans="2:27">
      <c r="B349" s="32">
        <v>46327</v>
      </c>
      <c r="C349" s="142"/>
      <c r="D349" s="143"/>
      <c r="E349" s="143"/>
      <c r="F349" s="144">
        <f t="shared" ref="F349:F378" si="66">SUM(C349:E349)</f>
        <v>0</v>
      </c>
      <c r="G349" s="15"/>
      <c r="H349" s="17"/>
      <c r="I349" s="16">
        <f t="shared" ref="I349:I377" si="67">SUM(G349:H349)</f>
        <v>0</v>
      </c>
      <c r="J349" s="15"/>
      <c r="K349" s="16"/>
      <c r="L349" s="15"/>
      <c r="M349" s="16"/>
      <c r="N349" s="15"/>
      <c r="O349" s="17"/>
      <c r="P349" s="17"/>
      <c r="Q349" s="16" t="e">
        <f>O349/N349*100</f>
        <v>#DIV/0!</v>
      </c>
      <c r="R349" s="15"/>
      <c r="S349" s="17"/>
      <c r="T349" s="16"/>
      <c r="U349" s="15"/>
      <c r="V349" s="17"/>
      <c r="W349" s="17"/>
      <c r="X349" s="16"/>
      <c r="Y349" s="15"/>
      <c r="Z349" s="14"/>
      <c r="AA349" s="13" t="s">
        <v>176</v>
      </c>
    </row>
    <row r="350" spans="2:27">
      <c r="B350" s="12">
        <v>46328</v>
      </c>
      <c r="C350" s="9"/>
      <c r="D350" s="11"/>
      <c r="E350" s="11"/>
      <c r="F350" s="10">
        <f t="shared" si="66"/>
        <v>0</v>
      </c>
      <c r="G350" s="9"/>
      <c r="H350" s="11"/>
      <c r="I350" s="10">
        <f t="shared" si="67"/>
        <v>0</v>
      </c>
      <c r="J350" s="9"/>
      <c r="K350" s="10"/>
      <c r="L350" s="9"/>
      <c r="M350" s="10"/>
      <c r="N350" s="9"/>
      <c r="O350" s="11"/>
      <c r="P350" s="11"/>
      <c r="Q350" s="16" t="e">
        <f t="shared" ref="Q350:Q378" si="68">O350/N350*100</f>
        <v>#DIV/0!</v>
      </c>
      <c r="R350" s="9"/>
      <c r="S350" s="11"/>
      <c r="T350" s="10"/>
      <c r="U350" s="9"/>
      <c r="V350" s="11"/>
      <c r="W350" s="11"/>
      <c r="X350" s="10"/>
      <c r="Y350" s="9"/>
      <c r="Z350" s="8"/>
      <c r="AA350" s="102" t="s">
        <v>177</v>
      </c>
    </row>
    <row r="351" spans="2:27">
      <c r="B351" s="12">
        <v>46329</v>
      </c>
      <c r="C351" s="9"/>
      <c r="D351" s="11"/>
      <c r="E351" s="11"/>
      <c r="F351" s="10">
        <f t="shared" si="66"/>
        <v>0</v>
      </c>
      <c r="G351" s="9"/>
      <c r="H351" s="11"/>
      <c r="I351" s="10">
        <f t="shared" si="67"/>
        <v>0</v>
      </c>
      <c r="J351" s="9"/>
      <c r="K351" s="10"/>
      <c r="L351" s="9"/>
      <c r="M351" s="10"/>
      <c r="N351" s="9"/>
      <c r="O351" s="11"/>
      <c r="P351" s="11"/>
      <c r="Q351" s="16" t="e">
        <f t="shared" si="68"/>
        <v>#DIV/0!</v>
      </c>
      <c r="R351" s="9"/>
      <c r="S351" s="11"/>
      <c r="T351" s="10"/>
      <c r="U351" s="9"/>
      <c r="V351" s="11"/>
      <c r="W351" s="11"/>
      <c r="X351" s="10"/>
      <c r="Y351" s="9"/>
      <c r="Z351" s="8"/>
      <c r="AA351" s="7" t="s">
        <v>27</v>
      </c>
    </row>
    <row r="352" spans="2:27">
      <c r="B352" s="12">
        <v>46330</v>
      </c>
      <c r="C352" s="9"/>
      <c r="D352" s="11"/>
      <c r="E352" s="11"/>
      <c r="F352" s="10">
        <f t="shared" si="66"/>
        <v>0</v>
      </c>
      <c r="G352" s="9"/>
      <c r="H352" s="11"/>
      <c r="I352" s="10">
        <f t="shared" si="67"/>
        <v>0</v>
      </c>
      <c r="J352" s="9"/>
      <c r="K352" s="10"/>
      <c r="L352" s="9"/>
      <c r="M352" s="10"/>
      <c r="N352" s="9"/>
      <c r="O352" s="11"/>
      <c r="P352" s="11"/>
      <c r="Q352" s="16" t="e">
        <f t="shared" si="68"/>
        <v>#DIV/0!</v>
      </c>
      <c r="R352" s="9"/>
      <c r="S352" s="11"/>
      <c r="T352" s="10"/>
      <c r="U352" s="9"/>
      <c r="V352" s="11"/>
      <c r="W352" s="11"/>
      <c r="X352" s="10"/>
      <c r="Y352" s="9"/>
      <c r="Z352" s="8"/>
      <c r="AA352" s="7" t="s">
        <v>26</v>
      </c>
    </row>
    <row r="353" spans="2:27">
      <c r="B353" s="12">
        <v>46331</v>
      </c>
      <c r="C353" s="9"/>
      <c r="D353" s="11"/>
      <c r="E353" s="11"/>
      <c r="F353" s="10">
        <f t="shared" si="66"/>
        <v>0</v>
      </c>
      <c r="G353" s="9"/>
      <c r="H353" s="11"/>
      <c r="I353" s="10">
        <f t="shared" si="67"/>
        <v>0</v>
      </c>
      <c r="J353" s="9"/>
      <c r="K353" s="10"/>
      <c r="L353" s="9"/>
      <c r="M353" s="10"/>
      <c r="N353" s="9"/>
      <c r="O353" s="11"/>
      <c r="P353" s="11"/>
      <c r="Q353" s="10" t="e">
        <f t="shared" si="68"/>
        <v>#DIV/0!</v>
      </c>
      <c r="R353" s="9"/>
      <c r="S353" s="11"/>
      <c r="T353" s="10"/>
      <c r="U353" s="9"/>
      <c r="V353" s="11"/>
      <c r="W353" s="11"/>
      <c r="X353" s="10"/>
      <c r="Y353" s="9"/>
      <c r="Z353" s="8"/>
      <c r="AA353" s="7" t="s">
        <v>25</v>
      </c>
    </row>
    <row r="354" spans="2:27">
      <c r="B354" s="12">
        <v>46332</v>
      </c>
      <c r="C354" s="9"/>
      <c r="D354" s="11"/>
      <c r="E354" s="11"/>
      <c r="F354" s="10">
        <f t="shared" si="66"/>
        <v>0</v>
      </c>
      <c r="G354" s="9"/>
      <c r="H354" s="11"/>
      <c r="I354" s="10">
        <f t="shared" si="67"/>
        <v>0</v>
      </c>
      <c r="J354" s="9"/>
      <c r="K354" s="10"/>
      <c r="L354" s="9"/>
      <c r="M354" s="10"/>
      <c r="N354" s="9"/>
      <c r="O354" s="11"/>
      <c r="P354" s="11"/>
      <c r="Q354" s="10" t="e">
        <f t="shared" si="68"/>
        <v>#DIV/0!</v>
      </c>
      <c r="R354" s="9"/>
      <c r="S354" s="11"/>
      <c r="T354" s="10"/>
      <c r="U354" s="9"/>
      <c r="V354" s="11"/>
      <c r="W354" s="11"/>
      <c r="X354" s="10"/>
      <c r="Y354" s="9"/>
      <c r="Z354" s="8"/>
      <c r="AA354" s="7" t="s">
        <v>24</v>
      </c>
    </row>
    <row r="355" spans="2:27">
      <c r="B355" s="12">
        <v>46333</v>
      </c>
      <c r="C355" s="9"/>
      <c r="D355" s="11"/>
      <c r="E355" s="11"/>
      <c r="F355" s="10">
        <f t="shared" si="66"/>
        <v>0</v>
      </c>
      <c r="G355" s="9"/>
      <c r="H355" s="11"/>
      <c r="I355" s="10">
        <f t="shared" si="67"/>
        <v>0</v>
      </c>
      <c r="J355" s="9"/>
      <c r="K355" s="10"/>
      <c r="L355" s="9"/>
      <c r="M355" s="10"/>
      <c r="N355" s="9"/>
      <c r="O355" s="11"/>
      <c r="P355" s="11"/>
      <c r="Q355" s="10" t="e">
        <f t="shared" si="68"/>
        <v>#DIV/0!</v>
      </c>
      <c r="R355" s="9"/>
      <c r="S355" s="11"/>
      <c r="T355" s="10"/>
      <c r="U355" s="9"/>
      <c r="V355" s="11"/>
      <c r="W355" s="11"/>
      <c r="X355" s="10"/>
      <c r="Y355" s="9"/>
      <c r="Z355" s="8"/>
      <c r="AA355" s="7" t="s">
        <v>23</v>
      </c>
    </row>
    <row r="356" spans="2:27">
      <c r="B356" s="12">
        <v>46334</v>
      </c>
      <c r="C356" s="9"/>
      <c r="D356" s="11"/>
      <c r="E356" s="11"/>
      <c r="F356" s="10">
        <f t="shared" si="66"/>
        <v>0</v>
      </c>
      <c r="G356" s="9"/>
      <c r="H356" s="11"/>
      <c r="I356" s="10">
        <f t="shared" si="67"/>
        <v>0</v>
      </c>
      <c r="J356" s="9"/>
      <c r="K356" s="10"/>
      <c r="L356" s="9"/>
      <c r="M356" s="10"/>
      <c r="N356" s="9"/>
      <c r="O356" s="11"/>
      <c r="P356" s="11"/>
      <c r="Q356" s="10" t="e">
        <f t="shared" si="68"/>
        <v>#DIV/0!</v>
      </c>
      <c r="R356" s="9"/>
      <c r="S356" s="11"/>
      <c r="T356" s="10"/>
      <c r="U356" s="9"/>
      <c r="V356" s="11"/>
      <c r="W356" s="11"/>
      <c r="X356" s="10"/>
      <c r="Y356" s="9"/>
      <c r="Z356" s="8"/>
      <c r="AA356" s="7" t="s">
        <v>22</v>
      </c>
    </row>
    <row r="357" spans="2:27">
      <c r="B357" s="12">
        <v>46335</v>
      </c>
      <c r="C357" s="9"/>
      <c r="D357" s="11"/>
      <c r="E357" s="11"/>
      <c r="F357" s="10">
        <f t="shared" si="66"/>
        <v>0</v>
      </c>
      <c r="G357" s="9"/>
      <c r="H357" s="11"/>
      <c r="I357" s="10">
        <f t="shared" si="67"/>
        <v>0</v>
      </c>
      <c r="J357" s="9"/>
      <c r="K357" s="10"/>
      <c r="L357" s="9"/>
      <c r="M357" s="10"/>
      <c r="N357" s="9"/>
      <c r="O357" s="11"/>
      <c r="P357" s="11"/>
      <c r="Q357" s="10" t="e">
        <f t="shared" si="68"/>
        <v>#DIV/0!</v>
      </c>
      <c r="R357" s="9"/>
      <c r="S357" s="11"/>
      <c r="T357" s="10"/>
      <c r="U357" s="9"/>
      <c r="V357" s="11"/>
      <c r="W357" s="11"/>
      <c r="X357" s="10"/>
      <c r="Y357" s="9"/>
      <c r="Z357" s="8"/>
      <c r="AA357" s="7" t="s">
        <v>21</v>
      </c>
    </row>
    <row r="358" spans="2:27">
      <c r="B358" s="12">
        <v>46336</v>
      </c>
      <c r="C358" s="9"/>
      <c r="D358" s="11"/>
      <c r="E358" s="11"/>
      <c r="F358" s="10">
        <f t="shared" si="66"/>
        <v>0</v>
      </c>
      <c r="G358" s="9"/>
      <c r="H358" s="11"/>
      <c r="I358" s="10">
        <f t="shared" si="67"/>
        <v>0</v>
      </c>
      <c r="J358" s="9"/>
      <c r="K358" s="10"/>
      <c r="L358" s="9"/>
      <c r="M358" s="10"/>
      <c r="N358" s="9"/>
      <c r="O358" s="11"/>
      <c r="P358" s="11"/>
      <c r="Q358" s="10" t="e">
        <f t="shared" si="68"/>
        <v>#DIV/0!</v>
      </c>
      <c r="R358" s="9"/>
      <c r="S358" s="11"/>
      <c r="T358" s="10"/>
      <c r="U358" s="9"/>
      <c r="V358" s="11"/>
      <c r="W358" s="11"/>
      <c r="X358" s="10"/>
      <c r="Y358" s="9"/>
      <c r="Z358" s="8"/>
      <c r="AA358" s="7" t="s">
        <v>20</v>
      </c>
    </row>
    <row r="359" spans="2:27">
      <c r="B359" s="12">
        <v>46337</v>
      </c>
      <c r="C359" s="9"/>
      <c r="D359" s="11"/>
      <c r="E359" s="11"/>
      <c r="F359" s="10">
        <f t="shared" si="66"/>
        <v>0</v>
      </c>
      <c r="G359" s="9"/>
      <c r="H359" s="11"/>
      <c r="I359" s="10">
        <f t="shared" si="67"/>
        <v>0</v>
      </c>
      <c r="J359" s="9"/>
      <c r="K359" s="10"/>
      <c r="L359" s="9"/>
      <c r="M359" s="10"/>
      <c r="N359" s="9"/>
      <c r="O359" s="11"/>
      <c r="P359" s="11"/>
      <c r="Q359" s="10" t="e">
        <f t="shared" si="68"/>
        <v>#DIV/0!</v>
      </c>
      <c r="R359" s="9"/>
      <c r="S359" s="11"/>
      <c r="T359" s="10"/>
      <c r="U359" s="9"/>
      <c r="V359" s="11"/>
      <c r="W359" s="11"/>
      <c r="X359" s="10"/>
      <c r="Y359" s="9"/>
      <c r="Z359" s="8"/>
      <c r="AA359" s="7" t="s">
        <v>19</v>
      </c>
    </row>
    <row r="360" spans="2:27">
      <c r="B360" s="12">
        <v>46338</v>
      </c>
      <c r="C360" s="9"/>
      <c r="D360" s="11"/>
      <c r="E360" s="11"/>
      <c r="F360" s="10">
        <f t="shared" si="66"/>
        <v>0</v>
      </c>
      <c r="G360" s="9"/>
      <c r="H360" s="11"/>
      <c r="I360" s="10">
        <f t="shared" si="67"/>
        <v>0</v>
      </c>
      <c r="J360" s="9"/>
      <c r="K360" s="10"/>
      <c r="L360" s="9"/>
      <c r="M360" s="10"/>
      <c r="N360" s="9"/>
      <c r="O360" s="11"/>
      <c r="P360" s="11"/>
      <c r="Q360" s="10" t="e">
        <f t="shared" si="68"/>
        <v>#DIV/0!</v>
      </c>
      <c r="R360" s="9"/>
      <c r="S360" s="11"/>
      <c r="T360" s="10"/>
      <c r="U360" s="9"/>
      <c r="V360" s="11"/>
      <c r="W360" s="11"/>
      <c r="X360" s="10"/>
      <c r="Y360" s="9"/>
      <c r="Z360" s="8"/>
      <c r="AA360" s="7" t="s">
        <v>18</v>
      </c>
    </row>
    <row r="361" spans="2:27">
      <c r="B361" s="12">
        <v>46339</v>
      </c>
      <c r="C361" s="9"/>
      <c r="D361" s="11"/>
      <c r="E361" s="11"/>
      <c r="F361" s="10">
        <f t="shared" si="66"/>
        <v>0</v>
      </c>
      <c r="G361" s="9"/>
      <c r="H361" s="11"/>
      <c r="I361" s="10">
        <f t="shared" si="67"/>
        <v>0</v>
      </c>
      <c r="J361" s="9"/>
      <c r="K361" s="10"/>
      <c r="L361" s="9"/>
      <c r="M361" s="10"/>
      <c r="N361" s="9"/>
      <c r="O361" s="11"/>
      <c r="P361" s="11"/>
      <c r="Q361" s="10" t="e">
        <f t="shared" si="68"/>
        <v>#DIV/0!</v>
      </c>
      <c r="R361" s="9"/>
      <c r="S361" s="11"/>
      <c r="T361" s="10"/>
      <c r="U361" s="9"/>
      <c r="V361" s="11"/>
      <c r="W361" s="11"/>
      <c r="X361" s="10"/>
      <c r="Y361" s="9"/>
      <c r="Z361" s="8"/>
      <c r="AA361" s="7" t="s">
        <v>17</v>
      </c>
    </row>
    <row r="362" spans="2:27">
      <c r="B362" s="12">
        <v>46340</v>
      </c>
      <c r="C362" s="9"/>
      <c r="D362" s="11"/>
      <c r="E362" s="11"/>
      <c r="F362" s="10">
        <f t="shared" si="66"/>
        <v>0</v>
      </c>
      <c r="G362" s="9"/>
      <c r="H362" s="11"/>
      <c r="I362" s="10">
        <f t="shared" si="67"/>
        <v>0</v>
      </c>
      <c r="J362" s="9"/>
      <c r="K362" s="10"/>
      <c r="L362" s="9"/>
      <c r="M362" s="10"/>
      <c r="N362" s="9"/>
      <c r="O362" s="11"/>
      <c r="P362" s="11"/>
      <c r="Q362" s="10" t="e">
        <f t="shared" si="68"/>
        <v>#DIV/0!</v>
      </c>
      <c r="R362" s="9"/>
      <c r="S362" s="11"/>
      <c r="T362" s="10"/>
      <c r="U362" s="9"/>
      <c r="V362" s="11"/>
      <c r="W362" s="11"/>
      <c r="X362" s="10"/>
      <c r="Y362" s="9"/>
      <c r="Z362" s="8"/>
      <c r="AA362" s="7" t="s">
        <v>16</v>
      </c>
    </row>
    <row r="363" spans="2:27">
      <c r="B363" s="12">
        <v>46341</v>
      </c>
      <c r="C363" s="9"/>
      <c r="D363" s="11"/>
      <c r="E363" s="11"/>
      <c r="F363" s="10">
        <f t="shared" si="66"/>
        <v>0</v>
      </c>
      <c r="G363" s="9"/>
      <c r="H363" s="11"/>
      <c r="I363" s="10">
        <f t="shared" si="67"/>
        <v>0</v>
      </c>
      <c r="J363" s="9"/>
      <c r="K363" s="10"/>
      <c r="L363" s="9"/>
      <c r="M363" s="10"/>
      <c r="N363" s="9"/>
      <c r="O363" s="11"/>
      <c r="P363" s="11"/>
      <c r="Q363" s="10" t="e">
        <f t="shared" si="68"/>
        <v>#DIV/0!</v>
      </c>
      <c r="R363" s="9"/>
      <c r="S363" s="11"/>
      <c r="T363" s="10"/>
      <c r="U363" s="9"/>
      <c r="V363" s="11"/>
      <c r="W363" s="11"/>
      <c r="X363" s="10"/>
      <c r="Y363" s="9"/>
      <c r="Z363" s="8"/>
      <c r="AA363" s="7" t="s">
        <v>15</v>
      </c>
    </row>
    <row r="364" spans="2:27">
      <c r="B364" s="12">
        <v>46342</v>
      </c>
      <c r="C364" s="9"/>
      <c r="D364" s="11"/>
      <c r="E364" s="11"/>
      <c r="F364" s="10">
        <f t="shared" si="66"/>
        <v>0</v>
      </c>
      <c r="G364" s="9"/>
      <c r="H364" s="11"/>
      <c r="I364" s="10">
        <f t="shared" si="67"/>
        <v>0</v>
      </c>
      <c r="J364" s="9"/>
      <c r="K364" s="10"/>
      <c r="L364" s="9"/>
      <c r="M364" s="10"/>
      <c r="N364" s="9"/>
      <c r="O364" s="11"/>
      <c r="P364" s="11"/>
      <c r="Q364" s="10" t="e">
        <f t="shared" si="68"/>
        <v>#DIV/0!</v>
      </c>
      <c r="R364" s="9"/>
      <c r="S364" s="11"/>
      <c r="T364" s="10"/>
      <c r="U364" s="9"/>
      <c r="V364" s="11"/>
      <c r="W364" s="11"/>
      <c r="X364" s="10"/>
      <c r="Y364" s="9"/>
      <c r="Z364" s="8"/>
      <c r="AA364" s="7" t="s">
        <v>14</v>
      </c>
    </row>
    <row r="365" spans="2:27">
      <c r="B365" s="12">
        <v>46343</v>
      </c>
      <c r="C365" s="9"/>
      <c r="D365" s="11"/>
      <c r="E365" s="11"/>
      <c r="F365" s="10">
        <f t="shared" si="66"/>
        <v>0</v>
      </c>
      <c r="G365" s="9"/>
      <c r="H365" s="11"/>
      <c r="I365" s="10">
        <f t="shared" si="67"/>
        <v>0</v>
      </c>
      <c r="J365" s="9"/>
      <c r="K365" s="10"/>
      <c r="L365" s="9"/>
      <c r="M365" s="10"/>
      <c r="N365" s="9"/>
      <c r="O365" s="11"/>
      <c r="P365" s="11"/>
      <c r="Q365" s="10" t="e">
        <f t="shared" si="68"/>
        <v>#DIV/0!</v>
      </c>
      <c r="R365" s="9"/>
      <c r="S365" s="11"/>
      <c r="T365" s="10"/>
      <c r="U365" s="9"/>
      <c r="V365" s="11"/>
      <c r="W365" s="11"/>
      <c r="X365" s="10"/>
      <c r="Y365" s="9"/>
      <c r="Z365" s="8"/>
      <c r="AA365" s="7" t="s">
        <v>13</v>
      </c>
    </row>
    <row r="366" spans="2:27">
      <c r="B366" s="12">
        <v>46344</v>
      </c>
      <c r="C366" s="9"/>
      <c r="D366" s="11"/>
      <c r="E366" s="11"/>
      <c r="F366" s="10">
        <f t="shared" si="66"/>
        <v>0</v>
      </c>
      <c r="G366" s="9"/>
      <c r="H366" s="11"/>
      <c r="I366" s="10">
        <f t="shared" si="67"/>
        <v>0</v>
      </c>
      <c r="J366" s="9"/>
      <c r="K366" s="10"/>
      <c r="L366" s="9"/>
      <c r="M366" s="10"/>
      <c r="N366" s="9"/>
      <c r="O366" s="11"/>
      <c r="P366" s="11"/>
      <c r="Q366" s="10" t="e">
        <f t="shared" si="68"/>
        <v>#DIV/0!</v>
      </c>
      <c r="R366" s="9"/>
      <c r="S366" s="11"/>
      <c r="T366" s="10"/>
      <c r="U366" s="9"/>
      <c r="V366" s="11"/>
      <c r="W366" s="11"/>
      <c r="X366" s="10"/>
      <c r="Y366" s="9"/>
      <c r="Z366" s="8"/>
      <c r="AA366" s="7" t="s">
        <v>12</v>
      </c>
    </row>
    <row r="367" spans="2:27">
      <c r="B367" s="12">
        <v>46345</v>
      </c>
      <c r="C367" s="9"/>
      <c r="D367" s="11"/>
      <c r="E367" s="11"/>
      <c r="F367" s="10">
        <f t="shared" si="66"/>
        <v>0</v>
      </c>
      <c r="G367" s="9"/>
      <c r="H367" s="11"/>
      <c r="I367" s="10">
        <f t="shared" si="67"/>
        <v>0</v>
      </c>
      <c r="J367" s="9"/>
      <c r="K367" s="10"/>
      <c r="L367" s="9"/>
      <c r="M367" s="10"/>
      <c r="N367" s="9"/>
      <c r="O367" s="11"/>
      <c r="P367" s="11"/>
      <c r="Q367" s="10" t="e">
        <f t="shared" si="68"/>
        <v>#DIV/0!</v>
      </c>
      <c r="R367" s="9"/>
      <c r="S367" s="11"/>
      <c r="T367" s="10"/>
      <c r="U367" s="9"/>
      <c r="V367" s="11"/>
      <c r="W367" s="11"/>
      <c r="X367" s="10"/>
      <c r="Y367" s="9"/>
      <c r="Z367" s="8"/>
      <c r="AA367" s="7" t="s">
        <v>11</v>
      </c>
    </row>
    <row r="368" spans="2:27">
      <c r="B368" s="12">
        <v>46346</v>
      </c>
      <c r="C368" s="9"/>
      <c r="D368" s="11"/>
      <c r="E368" s="11"/>
      <c r="F368" s="10">
        <f t="shared" si="66"/>
        <v>0</v>
      </c>
      <c r="G368" s="9"/>
      <c r="H368" s="11"/>
      <c r="I368" s="10">
        <f t="shared" si="67"/>
        <v>0</v>
      </c>
      <c r="J368" s="9"/>
      <c r="K368" s="10"/>
      <c r="L368" s="9"/>
      <c r="M368" s="10"/>
      <c r="N368" s="9"/>
      <c r="O368" s="11"/>
      <c r="P368" s="11"/>
      <c r="Q368" s="10" t="e">
        <f t="shared" si="68"/>
        <v>#DIV/0!</v>
      </c>
      <c r="R368" s="9"/>
      <c r="S368" s="11"/>
      <c r="T368" s="10"/>
      <c r="U368" s="9"/>
      <c r="V368" s="11"/>
      <c r="W368" s="11"/>
      <c r="X368" s="10"/>
      <c r="Y368" s="9"/>
      <c r="Z368" s="8"/>
      <c r="AA368" s="7" t="s">
        <v>10</v>
      </c>
    </row>
    <row r="369" spans="2:27">
      <c r="B369" s="12">
        <v>46347</v>
      </c>
      <c r="C369" s="9"/>
      <c r="D369" s="11"/>
      <c r="E369" s="11"/>
      <c r="F369" s="10">
        <f t="shared" si="66"/>
        <v>0</v>
      </c>
      <c r="G369" s="9"/>
      <c r="H369" s="11"/>
      <c r="I369" s="10">
        <f t="shared" si="67"/>
        <v>0</v>
      </c>
      <c r="J369" s="9"/>
      <c r="K369" s="10"/>
      <c r="L369" s="9"/>
      <c r="M369" s="10"/>
      <c r="N369" s="9"/>
      <c r="O369" s="11"/>
      <c r="P369" s="11"/>
      <c r="Q369" s="10" t="e">
        <f t="shared" si="68"/>
        <v>#DIV/0!</v>
      </c>
      <c r="R369" s="9"/>
      <c r="S369" s="11"/>
      <c r="T369" s="10"/>
      <c r="U369" s="9"/>
      <c r="V369" s="11"/>
      <c r="W369" s="11"/>
      <c r="X369" s="10"/>
      <c r="Y369" s="9"/>
      <c r="Z369" s="8"/>
      <c r="AA369" s="7" t="s">
        <v>9</v>
      </c>
    </row>
    <row r="370" spans="2:27">
      <c r="B370" s="12">
        <v>46348</v>
      </c>
      <c r="C370" s="9"/>
      <c r="D370" s="11"/>
      <c r="E370" s="11"/>
      <c r="F370" s="10">
        <f t="shared" si="66"/>
        <v>0</v>
      </c>
      <c r="G370" s="9"/>
      <c r="H370" s="11"/>
      <c r="I370" s="10">
        <f t="shared" si="67"/>
        <v>0</v>
      </c>
      <c r="J370" s="9"/>
      <c r="K370" s="10"/>
      <c r="L370" s="9"/>
      <c r="M370" s="10"/>
      <c r="N370" s="9"/>
      <c r="O370" s="11"/>
      <c r="P370" s="11"/>
      <c r="Q370" s="10" t="e">
        <f t="shared" si="68"/>
        <v>#DIV/0!</v>
      </c>
      <c r="R370" s="9"/>
      <c r="S370" s="11"/>
      <c r="T370" s="10"/>
      <c r="U370" s="9"/>
      <c r="V370" s="11"/>
      <c r="W370" s="11"/>
      <c r="X370" s="10"/>
      <c r="Y370" s="9"/>
      <c r="Z370" s="8"/>
      <c r="AA370" s="7" t="s">
        <v>8</v>
      </c>
    </row>
    <row r="371" spans="2:27">
      <c r="B371" s="12">
        <v>46349</v>
      </c>
      <c r="C371" s="9"/>
      <c r="D371" s="11"/>
      <c r="E371" s="11"/>
      <c r="F371" s="10">
        <f t="shared" si="66"/>
        <v>0</v>
      </c>
      <c r="G371" s="9"/>
      <c r="H371" s="11"/>
      <c r="I371" s="10">
        <f t="shared" si="67"/>
        <v>0</v>
      </c>
      <c r="J371" s="9"/>
      <c r="K371" s="10"/>
      <c r="L371" s="9"/>
      <c r="M371" s="10"/>
      <c r="N371" s="9"/>
      <c r="O371" s="11"/>
      <c r="P371" s="11"/>
      <c r="Q371" s="10" t="e">
        <f t="shared" si="68"/>
        <v>#DIV/0!</v>
      </c>
      <c r="R371" s="9"/>
      <c r="S371" s="11"/>
      <c r="T371" s="10"/>
      <c r="U371" s="9"/>
      <c r="V371" s="11"/>
      <c r="W371" s="11"/>
      <c r="X371" s="10"/>
      <c r="Y371" s="9"/>
      <c r="Z371" s="8"/>
      <c r="AA371" s="7" t="s">
        <v>7</v>
      </c>
    </row>
    <row r="372" spans="2:27">
      <c r="B372" s="12">
        <v>46350</v>
      </c>
      <c r="C372" s="9"/>
      <c r="D372" s="11"/>
      <c r="E372" s="11"/>
      <c r="F372" s="10">
        <f t="shared" si="66"/>
        <v>0</v>
      </c>
      <c r="G372" s="9"/>
      <c r="H372" s="11"/>
      <c r="I372" s="10">
        <f t="shared" si="67"/>
        <v>0</v>
      </c>
      <c r="J372" s="9"/>
      <c r="K372" s="10"/>
      <c r="L372" s="9"/>
      <c r="M372" s="10"/>
      <c r="N372" s="9"/>
      <c r="O372" s="11"/>
      <c r="P372" s="11"/>
      <c r="Q372" s="10" t="e">
        <f t="shared" si="68"/>
        <v>#DIV/0!</v>
      </c>
      <c r="R372" s="9"/>
      <c r="S372" s="11"/>
      <c r="T372" s="10"/>
      <c r="U372" s="9"/>
      <c r="V372" s="11"/>
      <c r="W372" s="11"/>
      <c r="X372" s="10"/>
      <c r="Y372" s="9"/>
      <c r="Z372" s="8"/>
      <c r="AA372" s="7" t="s">
        <v>6</v>
      </c>
    </row>
    <row r="373" spans="2:27">
      <c r="B373" s="12">
        <v>46351</v>
      </c>
      <c r="C373" s="9"/>
      <c r="D373" s="11"/>
      <c r="E373" s="11"/>
      <c r="F373" s="10">
        <f t="shared" si="66"/>
        <v>0</v>
      </c>
      <c r="G373" s="9"/>
      <c r="H373" s="11"/>
      <c r="I373" s="10">
        <f t="shared" si="67"/>
        <v>0</v>
      </c>
      <c r="J373" s="9"/>
      <c r="K373" s="10"/>
      <c r="L373" s="9"/>
      <c r="M373" s="10"/>
      <c r="N373" s="9"/>
      <c r="O373" s="11"/>
      <c r="P373" s="11"/>
      <c r="Q373" s="10" t="e">
        <f t="shared" si="68"/>
        <v>#DIV/0!</v>
      </c>
      <c r="R373" s="9"/>
      <c r="S373" s="11"/>
      <c r="T373" s="10"/>
      <c r="U373" s="9"/>
      <c r="V373" s="11"/>
      <c r="W373" s="11"/>
      <c r="X373" s="10"/>
      <c r="Y373" s="9"/>
      <c r="Z373" s="8"/>
      <c r="AA373" s="7" t="s">
        <v>5</v>
      </c>
    </row>
    <row r="374" spans="2:27">
      <c r="B374" s="12">
        <v>46352</v>
      </c>
      <c r="C374" s="9"/>
      <c r="D374" s="11"/>
      <c r="E374" s="11"/>
      <c r="F374" s="10">
        <f t="shared" si="66"/>
        <v>0</v>
      </c>
      <c r="G374" s="9"/>
      <c r="H374" s="11"/>
      <c r="I374" s="10">
        <f t="shared" si="67"/>
        <v>0</v>
      </c>
      <c r="J374" s="9"/>
      <c r="K374" s="10"/>
      <c r="L374" s="9"/>
      <c r="M374" s="10"/>
      <c r="N374" s="9"/>
      <c r="O374" s="11"/>
      <c r="P374" s="11"/>
      <c r="Q374" s="10" t="e">
        <f t="shared" si="68"/>
        <v>#DIV/0!</v>
      </c>
      <c r="R374" s="9"/>
      <c r="S374" s="11"/>
      <c r="T374" s="10"/>
      <c r="U374" s="9"/>
      <c r="V374" s="11"/>
      <c r="W374" s="11"/>
      <c r="X374" s="10"/>
      <c r="Y374" s="9"/>
      <c r="Z374" s="8"/>
      <c r="AA374" s="7" t="s">
        <v>4</v>
      </c>
    </row>
    <row r="375" spans="2:27">
      <c r="B375" s="12">
        <v>46353</v>
      </c>
      <c r="C375" s="9"/>
      <c r="D375" s="11"/>
      <c r="E375" s="11"/>
      <c r="F375" s="10">
        <f t="shared" si="66"/>
        <v>0</v>
      </c>
      <c r="G375" s="9"/>
      <c r="H375" s="11"/>
      <c r="I375" s="10">
        <f t="shared" si="67"/>
        <v>0</v>
      </c>
      <c r="J375" s="9"/>
      <c r="K375" s="10"/>
      <c r="L375" s="9"/>
      <c r="M375" s="10"/>
      <c r="N375" s="9"/>
      <c r="O375" s="11"/>
      <c r="P375" s="11"/>
      <c r="Q375" s="10" t="e">
        <f t="shared" si="68"/>
        <v>#DIV/0!</v>
      </c>
      <c r="R375" s="9"/>
      <c r="S375" s="11"/>
      <c r="T375" s="10"/>
      <c r="U375" s="9"/>
      <c r="V375" s="11"/>
      <c r="W375" s="11"/>
      <c r="X375" s="10"/>
      <c r="Y375" s="9"/>
      <c r="Z375" s="8"/>
      <c r="AA375" s="7" t="s">
        <v>3</v>
      </c>
    </row>
    <row r="376" spans="2:27">
      <c r="B376" s="12">
        <v>46354</v>
      </c>
      <c r="C376" s="9"/>
      <c r="D376" s="11"/>
      <c r="E376" s="11"/>
      <c r="F376" s="10">
        <f t="shared" si="66"/>
        <v>0</v>
      </c>
      <c r="G376" s="9"/>
      <c r="H376" s="11"/>
      <c r="I376" s="10">
        <f t="shared" si="67"/>
        <v>0</v>
      </c>
      <c r="J376" s="9"/>
      <c r="K376" s="10"/>
      <c r="L376" s="9"/>
      <c r="M376" s="10"/>
      <c r="N376" s="9"/>
      <c r="O376" s="11"/>
      <c r="P376" s="11"/>
      <c r="Q376" s="10" t="e">
        <f t="shared" si="68"/>
        <v>#DIV/0!</v>
      </c>
      <c r="R376" s="9"/>
      <c r="S376" s="11"/>
      <c r="T376" s="10"/>
      <c r="U376" s="9"/>
      <c r="V376" s="11"/>
      <c r="W376" s="11"/>
      <c r="X376" s="10"/>
      <c r="Y376" s="9"/>
      <c r="Z376" s="8"/>
      <c r="AA376" s="7" t="s">
        <v>2</v>
      </c>
    </row>
    <row r="377" spans="2:27">
      <c r="B377" s="12">
        <v>46355</v>
      </c>
      <c r="C377" s="9"/>
      <c r="D377" s="11"/>
      <c r="E377" s="11"/>
      <c r="F377" s="10">
        <f t="shared" si="66"/>
        <v>0</v>
      </c>
      <c r="G377" s="9"/>
      <c r="H377" s="11"/>
      <c r="I377" s="10">
        <f t="shared" si="67"/>
        <v>0</v>
      </c>
      <c r="J377" s="9"/>
      <c r="K377" s="10"/>
      <c r="L377" s="9"/>
      <c r="M377" s="10"/>
      <c r="N377" s="9"/>
      <c r="O377" s="11"/>
      <c r="P377" s="11"/>
      <c r="Q377" s="10" t="e">
        <f t="shared" si="68"/>
        <v>#DIV/0!</v>
      </c>
      <c r="R377" s="9"/>
      <c r="S377" s="11"/>
      <c r="T377" s="10"/>
      <c r="U377" s="9"/>
      <c r="V377" s="11"/>
      <c r="W377" s="11"/>
      <c r="X377" s="10"/>
      <c r="Y377" s="9"/>
      <c r="Z377" s="8"/>
      <c r="AA377" s="7" t="s">
        <v>1</v>
      </c>
    </row>
    <row r="378" spans="2:27" ht="17.25" thickBot="1">
      <c r="B378" s="6">
        <v>46356</v>
      </c>
      <c r="C378" s="3"/>
      <c r="D378" s="5"/>
      <c r="E378" s="5"/>
      <c r="F378" s="4">
        <f t="shared" si="66"/>
        <v>0</v>
      </c>
      <c r="G378" s="3"/>
      <c r="H378" s="5"/>
      <c r="I378" s="4">
        <f>SUM(G378:H378)</f>
        <v>0</v>
      </c>
      <c r="J378" s="3"/>
      <c r="K378" s="4"/>
      <c r="L378" s="3"/>
      <c r="M378" s="4"/>
      <c r="N378" s="3"/>
      <c r="O378" s="5"/>
      <c r="P378" s="5"/>
      <c r="Q378" s="4" t="e">
        <f t="shared" si="68"/>
        <v>#DIV/0!</v>
      </c>
      <c r="R378" s="3"/>
      <c r="S378" s="5"/>
      <c r="T378" s="4"/>
      <c r="U378" s="3"/>
      <c r="V378" s="5"/>
      <c r="W378" s="5"/>
      <c r="X378" s="4"/>
      <c r="Y378" s="3"/>
      <c r="Z378" s="2"/>
      <c r="AA378" s="1" t="s">
        <v>0</v>
      </c>
    </row>
    <row r="379" spans="2:27" ht="17.25" thickBot="1"/>
    <row r="380" spans="2:27" ht="21.75" thickBot="1">
      <c r="B380" s="194"/>
      <c r="C380" s="196" t="s">
        <v>68</v>
      </c>
      <c r="D380" s="197"/>
      <c r="E380" s="197"/>
      <c r="F380" s="198"/>
      <c r="G380" s="199" t="s">
        <v>67</v>
      </c>
      <c r="H380" s="200"/>
      <c r="I380" s="201"/>
      <c r="J380" s="196" t="s">
        <v>66</v>
      </c>
      <c r="K380" s="198"/>
      <c r="L380" s="202" t="s">
        <v>65</v>
      </c>
      <c r="M380" s="198"/>
      <c r="N380" s="203" t="s">
        <v>64</v>
      </c>
      <c r="O380" s="204"/>
      <c r="P380" s="204"/>
      <c r="Q380" s="205"/>
      <c r="R380" s="196" t="s">
        <v>63</v>
      </c>
      <c r="S380" s="197"/>
      <c r="T380" s="198"/>
      <c r="U380" s="196" t="s">
        <v>62</v>
      </c>
      <c r="V380" s="197"/>
      <c r="W380" s="197"/>
      <c r="X380" s="198"/>
      <c r="Y380" s="196" t="s">
        <v>61</v>
      </c>
      <c r="Z380" s="197"/>
      <c r="AA380" s="192" t="s">
        <v>49</v>
      </c>
    </row>
    <row r="381" spans="2:27" ht="20.25" thickBot="1">
      <c r="B381" s="195"/>
      <c r="C381" s="25" t="s">
        <v>48</v>
      </c>
      <c r="D381" s="27" t="s">
        <v>47</v>
      </c>
      <c r="E381" s="27" t="s">
        <v>46</v>
      </c>
      <c r="F381" s="26" t="s">
        <v>45</v>
      </c>
      <c r="G381" s="25" t="s">
        <v>43</v>
      </c>
      <c r="H381" s="27" t="s">
        <v>42</v>
      </c>
      <c r="I381" s="26" t="s">
        <v>44</v>
      </c>
      <c r="J381" s="25" t="s">
        <v>43</v>
      </c>
      <c r="K381" s="26" t="s">
        <v>42</v>
      </c>
      <c r="L381" s="25" t="s">
        <v>43</v>
      </c>
      <c r="M381" s="26" t="s">
        <v>42</v>
      </c>
      <c r="N381" s="31" t="s">
        <v>41</v>
      </c>
      <c r="O381" s="30" t="s">
        <v>40</v>
      </c>
      <c r="P381" s="30" t="s">
        <v>39</v>
      </c>
      <c r="Q381" s="29" t="s">
        <v>38</v>
      </c>
      <c r="R381" s="108" t="s">
        <v>143</v>
      </c>
      <c r="S381" s="107" t="s">
        <v>144</v>
      </c>
      <c r="T381" s="26" t="s">
        <v>37</v>
      </c>
      <c r="U381" s="25" t="s">
        <v>36</v>
      </c>
      <c r="V381" s="28" t="s">
        <v>35</v>
      </c>
      <c r="W381" s="27" t="s">
        <v>34</v>
      </c>
      <c r="X381" s="26" t="s">
        <v>33</v>
      </c>
      <c r="Y381" s="25" t="s">
        <v>32</v>
      </c>
      <c r="Z381" s="24" t="s">
        <v>31</v>
      </c>
      <c r="AA381" s="193"/>
    </row>
    <row r="382" spans="2:27" ht="21.75" thickBot="1">
      <c r="B382" s="23" t="s">
        <v>163</v>
      </c>
      <c r="C382" s="20">
        <f t="shared" ref="C382:E382" si="69">SUM(C383:C413)</f>
        <v>0</v>
      </c>
      <c r="D382" s="22">
        <f t="shared" si="69"/>
        <v>0</v>
      </c>
      <c r="E382" s="22">
        <f t="shared" si="69"/>
        <v>0</v>
      </c>
      <c r="F382" s="21">
        <f>SUM(F383:F413)</f>
        <v>0</v>
      </c>
      <c r="G382" s="20">
        <f t="shared" ref="G382:I382" si="70">SUM(G383:G413)</f>
        <v>0</v>
      </c>
      <c r="H382" s="22">
        <f t="shared" si="70"/>
        <v>0</v>
      </c>
      <c r="I382" s="21">
        <f t="shared" si="70"/>
        <v>0</v>
      </c>
      <c r="J382" s="20">
        <f>IFERROR(AVERAGE(J383:J413),0)</f>
        <v>0</v>
      </c>
      <c r="K382" s="21">
        <f>IFERROR(AVERAGE(K383:K413),0)</f>
        <v>0</v>
      </c>
      <c r="L382" s="20">
        <f>IFERROR(AVERAGE(L383:L413),0)</f>
        <v>0</v>
      </c>
      <c r="M382" s="21">
        <f>IFERROR(AVERAGE(M383:M413),0)</f>
        <v>0</v>
      </c>
      <c r="N382" s="20">
        <f>SUM(N383:N413)</f>
        <v>0</v>
      </c>
      <c r="O382" s="22">
        <f>SUM(O383:O413)</f>
        <v>0</v>
      </c>
      <c r="P382" s="22">
        <f>SUM(P383:P413)</f>
        <v>0</v>
      </c>
      <c r="Q382" s="21">
        <f t="shared" ref="Q382:Q413" si="71">IFERROR(O382/N382*100,0)</f>
        <v>0</v>
      </c>
      <c r="R382" s="20">
        <f t="shared" ref="R382:X382" si="72">SUM(R383:R413)</f>
        <v>0</v>
      </c>
      <c r="S382" s="22">
        <f t="shared" si="72"/>
        <v>0</v>
      </c>
      <c r="T382" s="21">
        <f t="shared" si="72"/>
        <v>0</v>
      </c>
      <c r="U382" s="20">
        <f t="shared" si="72"/>
        <v>0</v>
      </c>
      <c r="V382" s="22">
        <f t="shared" si="72"/>
        <v>0</v>
      </c>
      <c r="W382" s="22">
        <f t="shared" si="72"/>
        <v>0</v>
      </c>
      <c r="X382" s="21">
        <f t="shared" si="72"/>
        <v>0</v>
      </c>
      <c r="Y382" s="20">
        <f>SUM(Y383:Y413)</f>
        <v>0</v>
      </c>
      <c r="Z382" s="19">
        <f t="shared" ref="Z382" si="73">SUM(Z383:Z413)</f>
        <v>0</v>
      </c>
      <c r="AA382" s="18"/>
    </row>
    <row r="383" spans="2:27">
      <c r="B383" s="32">
        <v>46357</v>
      </c>
      <c r="C383" s="142"/>
      <c r="D383" s="143"/>
      <c r="E383" s="143"/>
      <c r="F383" s="144">
        <f>SUM(C383:E383)</f>
        <v>0</v>
      </c>
      <c r="G383" s="142"/>
      <c r="H383" s="143"/>
      <c r="I383" s="144">
        <f>SUM(G383:H383)</f>
        <v>0</v>
      </c>
      <c r="J383" s="142"/>
      <c r="K383" s="144"/>
      <c r="L383" s="142"/>
      <c r="M383" s="144"/>
      <c r="N383" s="142"/>
      <c r="O383" s="143"/>
      <c r="P383" s="143"/>
      <c r="Q383" s="144">
        <f t="shared" si="71"/>
        <v>0</v>
      </c>
      <c r="R383" s="142"/>
      <c r="S383" s="143"/>
      <c r="T383" s="144"/>
      <c r="U383" s="142"/>
      <c r="V383" s="143"/>
      <c r="W383" s="143"/>
      <c r="X383" s="144"/>
      <c r="Y383" s="142"/>
      <c r="Z383" s="148"/>
      <c r="AA383" s="13" t="s">
        <v>176</v>
      </c>
    </row>
    <row r="384" spans="2:27">
      <c r="B384" s="12">
        <v>46358</v>
      </c>
      <c r="C384" s="9"/>
      <c r="D384" s="11"/>
      <c r="E384" s="11"/>
      <c r="F384" s="16">
        <f t="shared" ref="F384" si="74">SUM(C384:E384)</f>
        <v>0</v>
      </c>
      <c r="G384" s="9"/>
      <c r="H384" s="11"/>
      <c r="I384" s="16">
        <f t="shared" ref="I384:I385" si="75">SUM(G384:H384)</f>
        <v>0</v>
      </c>
      <c r="J384" s="9"/>
      <c r="K384" s="10"/>
      <c r="L384" s="9"/>
      <c r="M384" s="10"/>
      <c r="N384" s="9"/>
      <c r="O384" s="11"/>
      <c r="P384" s="11"/>
      <c r="Q384" s="16">
        <f t="shared" si="71"/>
        <v>0</v>
      </c>
      <c r="R384" s="9"/>
      <c r="S384" s="11"/>
      <c r="T384" s="10"/>
      <c r="U384" s="9"/>
      <c r="V384" s="11"/>
      <c r="W384" s="11"/>
      <c r="X384" s="10"/>
      <c r="Y384" s="9"/>
      <c r="Z384" s="8"/>
      <c r="AA384" s="102" t="s">
        <v>177</v>
      </c>
    </row>
    <row r="385" spans="2:27">
      <c r="B385" s="12">
        <v>46359</v>
      </c>
      <c r="C385" s="9"/>
      <c r="D385" s="11"/>
      <c r="E385" s="11"/>
      <c r="F385" s="16">
        <f>SUM(C385:E385)</f>
        <v>0</v>
      </c>
      <c r="G385" s="9"/>
      <c r="H385" s="11"/>
      <c r="I385" s="16">
        <f t="shared" si="75"/>
        <v>0</v>
      </c>
      <c r="J385" s="9"/>
      <c r="K385" s="10"/>
      <c r="L385" s="9"/>
      <c r="M385" s="10"/>
      <c r="N385" s="9"/>
      <c r="O385" s="11"/>
      <c r="P385" s="11"/>
      <c r="Q385" s="16">
        <f t="shared" si="71"/>
        <v>0</v>
      </c>
      <c r="R385" s="9"/>
      <c r="S385" s="11"/>
      <c r="T385" s="10"/>
      <c r="U385" s="9"/>
      <c r="V385" s="11"/>
      <c r="W385" s="11"/>
      <c r="X385" s="10"/>
      <c r="Y385" s="9"/>
      <c r="Z385" s="8"/>
      <c r="AA385" s="13" t="s">
        <v>178</v>
      </c>
    </row>
    <row r="386" spans="2:27">
      <c r="B386" s="12">
        <v>46360</v>
      </c>
      <c r="C386" s="9"/>
      <c r="D386" s="11"/>
      <c r="E386" s="11"/>
      <c r="F386" s="16">
        <f t="shared" ref="F386:F413" si="76">SUM(C386:E386)</f>
        <v>0</v>
      </c>
      <c r="G386" s="9"/>
      <c r="H386" s="11"/>
      <c r="I386" s="16">
        <f>SUM(G386:H386)</f>
        <v>0</v>
      </c>
      <c r="J386" s="9"/>
      <c r="K386" s="10"/>
      <c r="L386" s="9"/>
      <c r="M386" s="10"/>
      <c r="N386" s="9"/>
      <c r="O386" s="11"/>
      <c r="P386" s="11"/>
      <c r="Q386" s="16">
        <f t="shared" si="71"/>
        <v>0</v>
      </c>
      <c r="R386" s="9"/>
      <c r="S386" s="11"/>
      <c r="T386" s="10"/>
      <c r="U386" s="9"/>
      <c r="V386" s="11"/>
      <c r="W386" s="11"/>
      <c r="X386" s="10"/>
      <c r="Y386" s="9"/>
      <c r="Z386" s="8"/>
      <c r="AA386" s="7" t="s">
        <v>26</v>
      </c>
    </row>
    <row r="387" spans="2:27">
      <c r="B387" s="12">
        <v>46361</v>
      </c>
      <c r="C387" s="9"/>
      <c r="D387" s="11"/>
      <c r="E387" s="11"/>
      <c r="F387" s="16">
        <f t="shared" si="76"/>
        <v>0</v>
      </c>
      <c r="G387" s="9"/>
      <c r="H387" s="11"/>
      <c r="I387" s="16">
        <f t="shared" ref="I387:I413" si="77">SUM(G387:H387)</f>
        <v>0</v>
      </c>
      <c r="J387" s="9"/>
      <c r="K387" s="10"/>
      <c r="L387" s="9"/>
      <c r="M387" s="10"/>
      <c r="N387" s="9"/>
      <c r="O387" s="11"/>
      <c r="P387" s="11"/>
      <c r="Q387" s="10">
        <f t="shared" si="71"/>
        <v>0</v>
      </c>
      <c r="R387" s="9"/>
      <c r="S387" s="11"/>
      <c r="T387" s="10"/>
      <c r="U387" s="9"/>
      <c r="V387" s="11"/>
      <c r="W387" s="11"/>
      <c r="X387" s="10"/>
      <c r="Y387" s="9"/>
      <c r="Z387" s="8"/>
      <c r="AA387" s="7" t="s">
        <v>25</v>
      </c>
    </row>
    <row r="388" spans="2:27">
      <c r="B388" s="12">
        <v>46362</v>
      </c>
      <c r="C388" s="9"/>
      <c r="D388" s="11"/>
      <c r="E388" s="11"/>
      <c r="F388" s="16">
        <f t="shared" si="76"/>
        <v>0</v>
      </c>
      <c r="G388" s="9"/>
      <c r="H388" s="11"/>
      <c r="I388" s="16">
        <f t="shared" si="77"/>
        <v>0</v>
      </c>
      <c r="J388" s="9"/>
      <c r="K388" s="10"/>
      <c r="L388" s="9"/>
      <c r="M388" s="10"/>
      <c r="N388" s="9"/>
      <c r="O388" s="11"/>
      <c r="P388" s="11"/>
      <c r="Q388" s="10">
        <f t="shared" si="71"/>
        <v>0</v>
      </c>
      <c r="R388" s="9"/>
      <c r="S388" s="11"/>
      <c r="T388" s="10"/>
      <c r="U388" s="9"/>
      <c r="V388" s="11"/>
      <c r="W388" s="11"/>
      <c r="X388" s="10"/>
      <c r="Y388" s="9"/>
      <c r="Z388" s="8"/>
      <c r="AA388" s="7" t="s">
        <v>24</v>
      </c>
    </row>
    <row r="389" spans="2:27">
      <c r="B389" s="12">
        <v>46363</v>
      </c>
      <c r="C389" s="9"/>
      <c r="D389" s="11"/>
      <c r="E389" s="11"/>
      <c r="F389" s="16">
        <f t="shared" si="76"/>
        <v>0</v>
      </c>
      <c r="G389" s="9"/>
      <c r="H389" s="11"/>
      <c r="I389" s="16">
        <f t="shared" si="77"/>
        <v>0</v>
      </c>
      <c r="J389" s="9"/>
      <c r="K389" s="10"/>
      <c r="L389" s="9"/>
      <c r="M389" s="10"/>
      <c r="N389" s="9"/>
      <c r="O389" s="11"/>
      <c r="P389" s="11"/>
      <c r="Q389" s="10">
        <f t="shared" si="71"/>
        <v>0</v>
      </c>
      <c r="R389" s="9"/>
      <c r="S389" s="11"/>
      <c r="T389" s="10"/>
      <c r="U389" s="9"/>
      <c r="V389" s="11"/>
      <c r="W389" s="11"/>
      <c r="X389" s="10"/>
      <c r="Y389" s="9"/>
      <c r="Z389" s="8"/>
      <c r="AA389" s="7" t="s">
        <v>23</v>
      </c>
    </row>
    <row r="390" spans="2:27">
      <c r="B390" s="12">
        <v>46364</v>
      </c>
      <c r="C390" s="9"/>
      <c r="D390" s="11"/>
      <c r="E390" s="11"/>
      <c r="F390" s="16">
        <f t="shared" si="76"/>
        <v>0</v>
      </c>
      <c r="G390" s="9"/>
      <c r="H390" s="11"/>
      <c r="I390" s="16">
        <f t="shared" si="77"/>
        <v>0</v>
      </c>
      <c r="J390" s="9"/>
      <c r="K390" s="10"/>
      <c r="L390" s="9"/>
      <c r="M390" s="10"/>
      <c r="N390" s="9"/>
      <c r="O390" s="11"/>
      <c r="P390" s="11"/>
      <c r="Q390" s="10">
        <f t="shared" si="71"/>
        <v>0</v>
      </c>
      <c r="R390" s="9"/>
      <c r="S390" s="11"/>
      <c r="T390" s="10"/>
      <c r="U390" s="9"/>
      <c r="V390" s="11"/>
      <c r="W390" s="11"/>
      <c r="X390" s="10"/>
      <c r="Y390" s="9"/>
      <c r="Z390" s="8"/>
      <c r="AA390" s="7" t="s">
        <v>22</v>
      </c>
    </row>
    <row r="391" spans="2:27">
      <c r="B391" s="12">
        <v>46365</v>
      </c>
      <c r="C391" s="9"/>
      <c r="D391" s="11"/>
      <c r="E391" s="11"/>
      <c r="F391" s="16">
        <f t="shared" si="76"/>
        <v>0</v>
      </c>
      <c r="G391" s="9"/>
      <c r="H391" s="11"/>
      <c r="I391" s="16">
        <f t="shared" si="77"/>
        <v>0</v>
      </c>
      <c r="J391" s="9"/>
      <c r="K391" s="10"/>
      <c r="L391" s="9"/>
      <c r="M391" s="10"/>
      <c r="N391" s="9"/>
      <c r="O391" s="11"/>
      <c r="P391" s="11"/>
      <c r="Q391" s="10">
        <f t="shared" si="71"/>
        <v>0</v>
      </c>
      <c r="R391" s="9"/>
      <c r="S391" s="11"/>
      <c r="T391" s="10"/>
      <c r="U391" s="9"/>
      <c r="V391" s="11"/>
      <c r="W391" s="11"/>
      <c r="X391" s="10"/>
      <c r="Y391" s="9"/>
      <c r="Z391" s="8"/>
      <c r="AA391" s="7" t="s">
        <v>21</v>
      </c>
    </row>
    <row r="392" spans="2:27">
      <c r="B392" s="12">
        <v>46366</v>
      </c>
      <c r="C392" s="9"/>
      <c r="D392" s="11"/>
      <c r="E392" s="11"/>
      <c r="F392" s="16">
        <f t="shared" si="76"/>
        <v>0</v>
      </c>
      <c r="G392" s="9"/>
      <c r="H392" s="11"/>
      <c r="I392" s="16">
        <f t="shared" si="77"/>
        <v>0</v>
      </c>
      <c r="J392" s="9"/>
      <c r="K392" s="10"/>
      <c r="L392" s="9"/>
      <c r="M392" s="10"/>
      <c r="N392" s="9"/>
      <c r="O392" s="11"/>
      <c r="P392" s="11"/>
      <c r="Q392" s="10">
        <f t="shared" si="71"/>
        <v>0</v>
      </c>
      <c r="R392" s="9"/>
      <c r="S392" s="11"/>
      <c r="T392" s="10"/>
      <c r="U392" s="9"/>
      <c r="V392" s="11"/>
      <c r="W392" s="11"/>
      <c r="X392" s="10"/>
      <c r="Y392" s="9"/>
      <c r="Z392" s="8"/>
      <c r="AA392" s="7" t="s">
        <v>20</v>
      </c>
    </row>
    <row r="393" spans="2:27">
      <c r="B393" s="12">
        <v>46367</v>
      </c>
      <c r="C393" s="9"/>
      <c r="D393" s="11"/>
      <c r="E393" s="11"/>
      <c r="F393" s="16">
        <f t="shared" si="76"/>
        <v>0</v>
      </c>
      <c r="G393" s="9"/>
      <c r="H393" s="11"/>
      <c r="I393" s="16">
        <f t="shared" si="77"/>
        <v>0</v>
      </c>
      <c r="J393" s="9"/>
      <c r="K393" s="10"/>
      <c r="L393" s="9"/>
      <c r="M393" s="10"/>
      <c r="N393" s="9"/>
      <c r="O393" s="11"/>
      <c r="P393" s="11"/>
      <c r="Q393" s="10">
        <f t="shared" si="71"/>
        <v>0</v>
      </c>
      <c r="R393" s="9"/>
      <c r="S393" s="11"/>
      <c r="T393" s="10"/>
      <c r="U393" s="9"/>
      <c r="V393" s="11"/>
      <c r="W393" s="11"/>
      <c r="X393" s="10"/>
      <c r="Y393" s="9"/>
      <c r="Z393" s="8"/>
      <c r="AA393" s="7" t="s">
        <v>19</v>
      </c>
    </row>
    <row r="394" spans="2:27">
      <c r="B394" s="12">
        <v>46368</v>
      </c>
      <c r="C394" s="9"/>
      <c r="D394" s="11"/>
      <c r="E394" s="11"/>
      <c r="F394" s="16">
        <f t="shared" si="76"/>
        <v>0</v>
      </c>
      <c r="G394" s="9"/>
      <c r="H394" s="11"/>
      <c r="I394" s="16">
        <f t="shared" si="77"/>
        <v>0</v>
      </c>
      <c r="J394" s="9"/>
      <c r="K394" s="10"/>
      <c r="L394" s="9"/>
      <c r="M394" s="10"/>
      <c r="N394" s="9"/>
      <c r="O394" s="11"/>
      <c r="P394" s="11"/>
      <c r="Q394" s="10">
        <f t="shared" si="71"/>
        <v>0</v>
      </c>
      <c r="R394" s="9"/>
      <c r="S394" s="11"/>
      <c r="T394" s="10"/>
      <c r="U394" s="9"/>
      <c r="V394" s="11"/>
      <c r="W394" s="11"/>
      <c r="X394" s="10"/>
      <c r="Y394" s="9"/>
      <c r="Z394" s="8"/>
      <c r="AA394" s="7" t="s">
        <v>18</v>
      </c>
    </row>
    <row r="395" spans="2:27">
      <c r="B395" s="12">
        <v>46369</v>
      </c>
      <c r="C395" s="9"/>
      <c r="D395" s="11"/>
      <c r="E395" s="11"/>
      <c r="F395" s="16">
        <f t="shared" si="76"/>
        <v>0</v>
      </c>
      <c r="G395" s="9"/>
      <c r="H395" s="11"/>
      <c r="I395" s="16">
        <f t="shared" si="77"/>
        <v>0</v>
      </c>
      <c r="J395" s="9"/>
      <c r="K395" s="10"/>
      <c r="L395" s="9"/>
      <c r="M395" s="10"/>
      <c r="N395" s="9"/>
      <c r="O395" s="11"/>
      <c r="P395" s="11"/>
      <c r="Q395" s="10">
        <f t="shared" si="71"/>
        <v>0</v>
      </c>
      <c r="R395" s="9"/>
      <c r="S395" s="11"/>
      <c r="T395" s="10"/>
      <c r="U395" s="9"/>
      <c r="V395" s="11"/>
      <c r="W395" s="11"/>
      <c r="X395" s="10"/>
      <c r="Y395" s="9"/>
      <c r="Z395" s="8"/>
      <c r="AA395" s="7" t="s">
        <v>17</v>
      </c>
    </row>
    <row r="396" spans="2:27">
      <c r="B396" s="12">
        <v>46370</v>
      </c>
      <c r="C396" s="9"/>
      <c r="D396" s="11"/>
      <c r="E396" s="11"/>
      <c r="F396" s="16">
        <f t="shared" si="76"/>
        <v>0</v>
      </c>
      <c r="G396" s="9"/>
      <c r="H396" s="11"/>
      <c r="I396" s="16">
        <f t="shared" si="77"/>
        <v>0</v>
      </c>
      <c r="J396" s="9"/>
      <c r="K396" s="10"/>
      <c r="L396" s="9"/>
      <c r="M396" s="10"/>
      <c r="N396" s="9"/>
      <c r="O396" s="11"/>
      <c r="P396" s="11"/>
      <c r="Q396" s="10">
        <f t="shared" si="71"/>
        <v>0</v>
      </c>
      <c r="R396" s="9"/>
      <c r="S396" s="11"/>
      <c r="T396" s="10"/>
      <c r="U396" s="9"/>
      <c r="V396" s="11"/>
      <c r="W396" s="11"/>
      <c r="X396" s="10"/>
      <c r="Y396" s="9"/>
      <c r="Z396" s="8"/>
      <c r="AA396" s="7" t="s">
        <v>16</v>
      </c>
    </row>
    <row r="397" spans="2:27">
      <c r="B397" s="12">
        <v>46371</v>
      </c>
      <c r="C397" s="9"/>
      <c r="D397" s="11"/>
      <c r="E397" s="11"/>
      <c r="F397" s="16">
        <f t="shared" si="76"/>
        <v>0</v>
      </c>
      <c r="G397" s="9"/>
      <c r="H397" s="11"/>
      <c r="I397" s="16">
        <f t="shared" si="77"/>
        <v>0</v>
      </c>
      <c r="J397" s="9"/>
      <c r="K397" s="10"/>
      <c r="L397" s="9"/>
      <c r="M397" s="10"/>
      <c r="N397" s="9"/>
      <c r="O397" s="11"/>
      <c r="P397" s="11"/>
      <c r="Q397" s="10">
        <f t="shared" si="71"/>
        <v>0</v>
      </c>
      <c r="R397" s="9"/>
      <c r="S397" s="11"/>
      <c r="T397" s="10"/>
      <c r="U397" s="9"/>
      <c r="V397" s="11"/>
      <c r="W397" s="11"/>
      <c r="X397" s="10"/>
      <c r="Y397" s="9"/>
      <c r="Z397" s="8"/>
      <c r="AA397" s="7" t="s">
        <v>15</v>
      </c>
    </row>
    <row r="398" spans="2:27">
      <c r="B398" s="12">
        <v>46372</v>
      </c>
      <c r="C398" s="9"/>
      <c r="D398" s="11"/>
      <c r="E398" s="11"/>
      <c r="F398" s="16">
        <f t="shared" si="76"/>
        <v>0</v>
      </c>
      <c r="G398" s="9"/>
      <c r="H398" s="11"/>
      <c r="I398" s="16">
        <f t="shared" si="77"/>
        <v>0</v>
      </c>
      <c r="J398" s="9"/>
      <c r="K398" s="10"/>
      <c r="L398" s="9"/>
      <c r="M398" s="10"/>
      <c r="N398" s="9"/>
      <c r="O398" s="11"/>
      <c r="P398" s="11"/>
      <c r="Q398" s="10">
        <f t="shared" si="71"/>
        <v>0</v>
      </c>
      <c r="R398" s="9"/>
      <c r="S398" s="11"/>
      <c r="T398" s="10"/>
      <c r="U398" s="9"/>
      <c r="V398" s="11"/>
      <c r="W398" s="11"/>
      <c r="X398" s="10"/>
      <c r="Y398" s="9"/>
      <c r="Z398" s="8"/>
      <c r="AA398" s="7" t="s">
        <v>14</v>
      </c>
    </row>
    <row r="399" spans="2:27">
      <c r="B399" s="12">
        <v>46373</v>
      </c>
      <c r="C399" s="9"/>
      <c r="D399" s="11"/>
      <c r="E399" s="11"/>
      <c r="F399" s="16">
        <f t="shared" si="76"/>
        <v>0</v>
      </c>
      <c r="G399" s="9"/>
      <c r="H399" s="11"/>
      <c r="I399" s="16">
        <f t="shared" si="77"/>
        <v>0</v>
      </c>
      <c r="J399" s="9"/>
      <c r="K399" s="10"/>
      <c r="L399" s="9"/>
      <c r="M399" s="10"/>
      <c r="N399" s="9"/>
      <c r="O399" s="11"/>
      <c r="P399" s="11"/>
      <c r="Q399" s="10">
        <f t="shared" si="71"/>
        <v>0</v>
      </c>
      <c r="R399" s="9"/>
      <c r="S399" s="11"/>
      <c r="T399" s="10"/>
      <c r="U399" s="9"/>
      <c r="V399" s="11"/>
      <c r="W399" s="161"/>
      <c r="X399" s="10"/>
      <c r="Y399" s="9"/>
      <c r="Z399" s="8"/>
      <c r="AA399" s="7" t="s">
        <v>13</v>
      </c>
    </row>
    <row r="400" spans="2:27">
      <c r="B400" s="12">
        <v>46374</v>
      </c>
      <c r="C400" s="9"/>
      <c r="D400" s="11"/>
      <c r="E400" s="11"/>
      <c r="F400" s="16">
        <f t="shared" si="76"/>
        <v>0</v>
      </c>
      <c r="G400" s="9"/>
      <c r="H400" s="11"/>
      <c r="I400" s="16">
        <f t="shared" si="77"/>
        <v>0</v>
      </c>
      <c r="J400" s="9"/>
      <c r="K400" s="10"/>
      <c r="L400" s="9"/>
      <c r="M400" s="10"/>
      <c r="N400" s="9"/>
      <c r="O400" s="11"/>
      <c r="P400" s="11"/>
      <c r="Q400" s="10">
        <f t="shared" si="71"/>
        <v>0</v>
      </c>
      <c r="R400" s="9"/>
      <c r="S400" s="11"/>
      <c r="T400" s="10"/>
      <c r="U400" s="9"/>
      <c r="V400" s="11"/>
      <c r="W400" s="11"/>
      <c r="X400" s="10"/>
      <c r="Y400" s="9"/>
      <c r="Z400" s="8"/>
      <c r="AA400" s="7" t="s">
        <v>12</v>
      </c>
    </row>
    <row r="401" spans="2:27">
      <c r="B401" s="12">
        <v>46375</v>
      </c>
      <c r="C401" s="9"/>
      <c r="D401" s="11"/>
      <c r="E401" s="11"/>
      <c r="F401" s="16">
        <f t="shared" si="76"/>
        <v>0</v>
      </c>
      <c r="G401" s="9"/>
      <c r="H401" s="11"/>
      <c r="I401" s="16">
        <f t="shared" si="77"/>
        <v>0</v>
      </c>
      <c r="J401" s="9"/>
      <c r="K401" s="10"/>
      <c r="L401" s="9"/>
      <c r="M401" s="10"/>
      <c r="N401" s="9"/>
      <c r="O401" s="11"/>
      <c r="P401" s="11"/>
      <c r="Q401" s="10">
        <f t="shared" si="71"/>
        <v>0</v>
      </c>
      <c r="R401" s="9"/>
      <c r="S401" s="11"/>
      <c r="T401" s="10"/>
      <c r="U401" s="9"/>
      <c r="V401" s="11"/>
      <c r="W401" s="11"/>
      <c r="X401" s="10"/>
      <c r="Y401" s="9"/>
      <c r="Z401" s="8"/>
      <c r="AA401" s="7" t="s">
        <v>11</v>
      </c>
    </row>
    <row r="402" spans="2:27">
      <c r="B402" s="12">
        <v>46376</v>
      </c>
      <c r="C402" s="9"/>
      <c r="D402" s="11"/>
      <c r="E402" s="11"/>
      <c r="F402" s="16">
        <f t="shared" si="76"/>
        <v>0</v>
      </c>
      <c r="G402" s="9"/>
      <c r="H402" s="11"/>
      <c r="I402" s="16">
        <f t="shared" si="77"/>
        <v>0</v>
      </c>
      <c r="J402" s="9"/>
      <c r="K402" s="10"/>
      <c r="L402" s="9"/>
      <c r="M402" s="10"/>
      <c r="N402" s="9"/>
      <c r="O402" s="11"/>
      <c r="P402" s="11"/>
      <c r="Q402" s="10">
        <f t="shared" si="71"/>
        <v>0</v>
      </c>
      <c r="R402" s="9"/>
      <c r="S402" s="11"/>
      <c r="T402" s="10"/>
      <c r="U402" s="9"/>
      <c r="V402" s="11"/>
      <c r="W402" s="11"/>
      <c r="X402" s="10"/>
      <c r="Y402" s="9"/>
      <c r="Z402" s="8"/>
      <c r="AA402" s="7" t="s">
        <v>10</v>
      </c>
    </row>
    <row r="403" spans="2:27">
      <c r="B403" s="12">
        <v>46377</v>
      </c>
      <c r="C403" s="9"/>
      <c r="D403" s="11"/>
      <c r="E403" s="11"/>
      <c r="F403" s="16">
        <f t="shared" si="76"/>
        <v>0</v>
      </c>
      <c r="G403" s="9"/>
      <c r="H403" s="11"/>
      <c r="I403" s="16">
        <f t="shared" si="77"/>
        <v>0</v>
      </c>
      <c r="J403" s="9"/>
      <c r="K403" s="10"/>
      <c r="L403" s="9"/>
      <c r="M403" s="10"/>
      <c r="N403" s="9"/>
      <c r="O403" s="11"/>
      <c r="P403" s="11"/>
      <c r="Q403" s="10">
        <f t="shared" si="71"/>
        <v>0</v>
      </c>
      <c r="R403" s="9"/>
      <c r="S403" s="11"/>
      <c r="T403" s="10"/>
      <c r="U403" s="9"/>
      <c r="V403" s="11"/>
      <c r="W403" s="11"/>
      <c r="X403" s="10"/>
      <c r="Y403" s="9"/>
      <c r="Z403" s="8"/>
      <c r="AA403" s="7" t="s">
        <v>9</v>
      </c>
    </row>
    <row r="404" spans="2:27">
      <c r="B404" s="12">
        <v>46378</v>
      </c>
      <c r="C404" s="9"/>
      <c r="D404" s="11"/>
      <c r="E404" s="11"/>
      <c r="F404" s="16">
        <f t="shared" si="76"/>
        <v>0</v>
      </c>
      <c r="G404" s="9"/>
      <c r="H404" s="11"/>
      <c r="I404" s="16">
        <f t="shared" si="77"/>
        <v>0</v>
      </c>
      <c r="J404" s="9"/>
      <c r="K404" s="10"/>
      <c r="L404" s="9"/>
      <c r="M404" s="10"/>
      <c r="N404" s="9"/>
      <c r="O404" s="11"/>
      <c r="P404" s="11"/>
      <c r="Q404" s="10">
        <f t="shared" si="71"/>
        <v>0</v>
      </c>
      <c r="R404" s="9"/>
      <c r="S404" s="11"/>
      <c r="T404" s="10"/>
      <c r="U404" s="9"/>
      <c r="V404" s="11"/>
      <c r="W404" s="11"/>
      <c r="X404" s="10"/>
      <c r="Y404" s="9"/>
      <c r="Z404" s="8"/>
      <c r="AA404" s="7" t="s">
        <v>8</v>
      </c>
    </row>
    <row r="405" spans="2:27">
      <c r="B405" s="12">
        <v>46379</v>
      </c>
      <c r="C405" s="9"/>
      <c r="D405" s="11"/>
      <c r="E405" s="11"/>
      <c r="F405" s="16">
        <f t="shared" si="76"/>
        <v>0</v>
      </c>
      <c r="G405" s="9"/>
      <c r="H405" s="11"/>
      <c r="I405" s="16">
        <f t="shared" si="77"/>
        <v>0</v>
      </c>
      <c r="J405" s="9"/>
      <c r="K405" s="10"/>
      <c r="L405" s="9"/>
      <c r="M405" s="10"/>
      <c r="N405" s="9"/>
      <c r="O405" s="11"/>
      <c r="P405" s="11"/>
      <c r="Q405" s="10">
        <f t="shared" si="71"/>
        <v>0</v>
      </c>
      <c r="R405" s="9"/>
      <c r="S405" s="11"/>
      <c r="T405" s="10"/>
      <c r="U405" s="9"/>
      <c r="V405" s="11"/>
      <c r="W405" s="11"/>
      <c r="X405" s="10"/>
      <c r="Y405" s="9"/>
      <c r="Z405" s="8"/>
      <c r="AA405" s="7" t="s">
        <v>7</v>
      </c>
    </row>
    <row r="406" spans="2:27">
      <c r="B406" s="12">
        <v>46380</v>
      </c>
      <c r="C406" s="9"/>
      <c r="D406" s="11"/>
      <c r="E406" s="11"/>
      <c r="F406" s="16">
        <f t="shared" si="76"/>
        <v>0</v>
      </c>
      <c r="G406" s="9"/>
      <c r="H406" s="11"/>
      <c r="I406" s="16">
        <f t="shared" si="77"/>
        <v>0</v>
      </c>
      <c r="J406" s="9"/>
      <c r="K406" s="10"/>
      <c r="L406" s="9"/>
      <c r="M406" s="10"/>
      <c r="N406" s="9"/>
      <c r="O406" s="11"/>
      <c r="P406" s="11"/>
      <c r="Q406" s="10">
        <f t="shared" si="71"/>
        <v>0</v>
      </c>
      <c r="R406" s="9"/>
      <c r="S406" s="11"/>
      <c r="T406" s="10"/>
      <c r="U406" s="9"/>
      <c r="V406" s="11"/>
      <c r="W406" s="11"/>
      <c r="X406" s="10"/>
      <c r="Y406" s="9"/>
      <c r="Z406" s="8"/>
      <c r="AA406" s="7" t="s">
        <v>6</v>
      </c>
    </row>
    <row r="407" spans="2:27">
      <c r="B407" s="12">
        <v>46381</v>
      </c>
      <c r="C407" s="9"/>
      <c r="D407" s="11"/>
      <c r="E407" s="11"/>
      <c r="F407" s="16">
        <f t="shared" si="76"/>
        <v>0</v>
      </c>
      <c r="G407" s="9"/>
      <c r="H407" s="11"/>
      <c r="I407" s="16">
        <f t="shared" si="77"/>
        <v>0</v>
      </c>
      <c r="J407" s="9"/>
      <c r="K407" s="10"/>
      <c r="L407" s="9"/>
      <c r="M407" s="10"/>
      <c r="N407" s="9"/>
      <c r="O407" s="11"/>
      <c r="P407" s="11"/>
      <c r="Q407" s="10">
        <f t="shared" si="71"/>
        <v>0</v>
      </c>
      <c r="R407" s="9"/>
      <c r="S407" s="11"/>
      <c r="T407" s="10"/>
      <c r="U407" s="9"/>
      <c r="V407" s="11"/>
      <c r="W407" s="11"/>
      <c r="X407" s="10"/>
      <c r="Y407" s="9"/>
      <c r="Z407" s="8"/>
      <c r="AA407" s="7" t="s">
        <v>5</v>
      </c>
    </row>
    <row r="408" spans="2:27">
      <c r="B408" s="12">
        <v>46382</v>
      </c>
      <c r="C408" s="9"/>
      <c r="D408" s="11"/>
      <c r="E408" s="11"/>
      <c r="F408" s="16">
        <f t="shared" si="76"/>
        <v>0</v>
      </c>
      <c r="G408" s="9"/>
      <c r="H408" s="11"/>
      <c r="I408" s="16">
        <f t="shared" si="77"/>
        <v>0</v>
      </c>
      <c r="J408" s="9"/>
      <c r="K408" s="10"/>
      <c r="L408" s="9"/>
      <c r="M408" s="10"/>
      <c r="N408" s="9"/>
      <c r="O408" s="11"/>
      <c r="P408" s="11"/>
      <c r="Q408" s="10">
        <f t="shared" si="71"/>
        <v>0</v>
      </c>
      <c r="R408" s="9"/>
      <c r="S408" s="11"/>
      <c r="T408" s="10"/>
      <c r="U408" s="9"/>
      <c r="V408" s="11"/>
      <c r="W408" s="11"/>
      <c r="X408" s="10"/>
      <c r="Y408" s="9"/>
      <c r="Z408" s="8"/>
      <c r="AA408" s="7" t="s">
        <v>4</v>
      </c>
    </row>
    <row r="409" spans="2:27">
      <c r="B409" s="12">
        <v>46383</v>
      </c>
      <c r="C409" s="9"/>
      <c r="D409" s="11"/>
      <c r="E409" s="11"/>
      <c r="F409" s="16">
        <f t="shared" si="76"/>
        <v>0</v>
      </c>
      <c r="G409" s="9"/>
      <c r="H409" s="11"/>
      <c r="I409" s="16">
        <f t="shared" si="77"/>
        <v>0</v>
      </c>
      <c r="J409" s="9"/>
      <c r="K409" s="10"/>
      <c r="L409" s="9"/>
      <c r="M409" s="10"/>
      <c r="N409" s="9"/>
      <c r="O409" s="11"/>
      <c r="P409" s="11"/>
      <c r="Q409" s="10">
        <f t="shared" si="71"/>
        <v>0</v>
      </c>
      <c r="R409" s="9"/>
      <c r="S409" s="11"/>
      <c r="T409" s="10"/>
      <c r="U409" s="9"/>
      <c r="V409" s="11"/>
      <c r="W409" s="11"/>
      <c r="X409" s="10"/>
      <c r="Y409" s="9"/>
      <c r="Z409" s="8"/>
      <c r="AA409" s="7" t="s">
        <v>3</v>
      </c>
    </row>
    <row r="410" spans="2:27">
      <c r="B410" s="12">
        <v>46384</v>
      </c>
      <c r="C410" s="9"/>
      <c r="D410" s="11"/>
      <c r="E410" s="11"/>
      <c r="F410" s="16">
        <f t="shared" si="76"/>
        <v>0</v>
      </c>
      <c r="G410" s="9"/>
      <c r="H410" s="11"/>
      <c r="I410" s="16">
        <f t="shared" si="77"/>
        <v>0</v>
      </c>
      <c r="J410" s="9"/>
      <c r="K410" s="10"/>
      <c r="L410" s="9"/>
      <c r="M410" s="10"/>
      <c r="N410" s="162"/>
      <c r="O410" s="161"/>
      <c r="P410" s="161"/>
      <c r="Q410" s="163">
        <f t="shared" si="71"/>
        <v>0</v>
      </c>
      <c r="R410" s="9"/>
      <c r="S410" s="11"/>
      <c r="T410" s="10"/>
      <c r="U410" s="9"/>
      <c r="V410" s="11"/>
      <c r="W410" s="11"/>
      <c r="X410" s="10"/>
      <c r="Y410" s="9"/>
      <c r="Z410" s="8"/>
      <c r="AA410" s="7" t="s">
        <v>2</v>
      </c>
    </row>
    <row r="411" spans="2:27">
      <c r="B411" s="12">
        <v>46385</v>
      </c>
      <c r="C411" s="9"/>
      <c r="D411" s="11"/>
      <c r="E411" s="11"/>
      <c r="F411" s="16">
        <f t="shared" si="76"/>
        <v>0</v>
      </c>
      <c r="G411" s="9"/>
      <c r="H411" s="11"/>
      <c r="I411" s="16">
        <f t="shared" si="77"/>
        <v>0</v>
      </c>
      <c r="J411" s="9"/>
      <c r="K411" s="10"/>
      <c r="L411" s="9"/>
      <c r="M411" s="10"/>
      <c r="N411" s="9"/>
      <c r="O411" s="11"/>
      <c r="P411" s="11"/>
      <c r="Q411" s="10">
        <f t="shared" si="71"/>
        <v>0</v>
      </c>
      <c r="R411" s="9"/>
      <c r="S411" s="11"/>
      <c r="T411" s="10"/>
      <c r="U411" s="9"/>
      <c r="V411" s="11"/>
      <c r="W411" s="11"/>
      <c r="X411" s="10"/>
      <c r="Y411" s="9"/>
      <c r="Z411" s="8"/>
      <c r="AA411" s="7" t="s">
        <v>1</v>
      </c>
    </row>
    <row r="412" spans="2:27">
      <c r="B412" s="12">
        <v>46386</v>
      </c>
      <c r="C412" s="9"/>
      <c r="D412" s="11"/>
      <c r="E412" s="11"/>
      <c r="F412" s="16">
        <f t="shared" si="76"/>
        <v>0</v>
      </c>
      <c r="G412" s="9"/>
      <c r="H412" s="11"/>
      <c r="I412" s="16">
        <f t="shared" si="77"/>
        <v>0</v>
      </c>
      <c r="J412" s="9"/>
      <c r="K412" s="10"/>
      <c r="L412" s="9"/>
      <c r="M412" s="10"/>
      <c r="N412" s="9"/>
      <c r="O412" s="11"/>
      <c r="P412" s="11"/>
      <c r="Q412" s="10">
        <f t="shared" si="71"/>
        <v>0</v>
      </c>
      <c r="R412" s="9"/>
      <c r="S412" s="11"/>
      <c r="T412" s="10"/>
      <c r="U412" s="9"/>
      <c r="V412" s="11"/>
      <c r="W412" s="11"/>
      <c r="X412" s="10"/>
      <c r="Y412" s="9"/>
      <c r="Z412" s="8"/>
      <c r="AA412" s="7" t="s">
        <v>59</v>
      </c>
    </row>
    <row r="413" spans="2:27" ht="17.25" thickBot="1">
      <c r="B413" s="6">
        <v>46387</v>
      </c>
      <c r="C413" s="3"/>
      <c r="D413" s="5"/>
      <c r="E413" s="5"/>
      <c r="F413" s="160">
        <f t="shared" si="76"/>
        <v>0</v>
      </c>
      <c r="G413" s="3"/>
      <c r="H413" s="5"/>
      <c r="I413" s="160">
        <f t="shared" si="77"/>
        <v>0</v>
      </c>
      <c r="J413" s="3"/>
      <c r="K413" s="4"/>
      <c r="L413" s="3"/>
      <c r="M413" s="4"/>
      <c r="N413" s="3"/>
      <c r="O413" s="5"/>
      <c r="P413" s="5"/>
      <c r="Q413" s="4">
        <f t="shared" si="71"/>
        <v>0</v>
      </c>
      <c r="R413" s="3"/>
      <c r="S413" s="5"/>
      <c r="T413" s="4"/>
      <c r="U413" s="3"/>
      <c r="V413" s="5"/>
      <c r="W413" s="5"/>
      <c r="X413" s="4"/>
      <c r="Y413" s="3"/>
      <c r="Z413" s="2"/>
      <c r="AA413" s="1" t="s">
        <v>58</v>
      </c>
    </row>
  </sheetData>
  <mergeCells count="120">
    <mergeCell ref="AA207:AA208"/>
    <mergeCell ref="B277:B278"/>
    <mergeCell ref="C277:F277"/>
    <mergeCell ref="G277:I277"/>
    <mergeCell ref="J277:K277"/>
    <mergeCell ref="L277:M277"/>
    <mergeCell ref="N277:Q277"/>
    <mergeCell ref="R277:T277"/>
    <mergeCell ref="U277:X277"/>
    <mergeCell ref="Y277:Z277"/>
    <mergeCell ref="AA277:AA278"/>
    <mergeCell ref="B207:B208"/>
    <mergeCell ref="C207:F207"/>
    <mergeCell ref="G207:I207"/>
    <mergeCell ref="J207:K207"/>
    <mergeCell ref="L207:M207"/>
    <mergeCell ref="N207:Q207"/>
    <mergeCell ref="R207:T207"/>
    <mergeCell ref="U207:X207"/>
    <mergeCell ref="Y207:Z207"/>
    <mergeCell ref="N242:Q242"/>
    <mergeCell ref="R242:T242"/>
    <mergeCell ref="U242:X242"/>
    <mergeCell ref="Y242:Z242"/>
    <mergeCell ref="Y2:Z2"/>
    <mergeCell ref="N2:Q2"/>
    <mergeCell ref="R2:T2"/>
    <mergeCell ref="AA2:AA3"/>
    <mergeCell ref="U2:X2"/>
    <mergeCell ref="B2:B3"/>
    <mergeCell ref="C2:F2"/>
    <mergeCell ref="G2:I2"/>
    <mergeCell ref="J2:K2"/>
    <mergeCell ref="L2:M2"/>
    <mergeCell ref="L69:M69"/>
    <mergeCell ref="N69:Q69"/>
    <mergeCell ref="L104:M104"/>
    <mergeCell ref="R69:T69"/>
    <mergeCell ref="N37:Q37"/>
    <mergeCell ref="B37:B38"/>
    <mergeCell ref="C37:F37"/>
    <mergeCell ref="G37:I37"/>
    <mergeCell ref="J37:K37"/>
    <mergeCell ref="L37:M37"/>
    <mergeCell ref="B69:B70"/>
    <mergeCell ref="C69:F69"/>
    <mergeCell ref="G69:I69"/>
    <mergeCell ref="J69:K69"/>
    <mergeCell ref="B104:B105"/>
    <mergeCell ref="C104:F104"/>
    <mergeCell ref="G104:I104"/>
    <mergeCell ref="J104:K104"/>
    <mergeCell ref="N173:Q173"/>
    <mergeCell ref="Y104:Z104"/>
    <mergeCell ref="B138:B139"/>
    <mergeCell ref="C138:F138"/>
    <mergeCell ref="G138:I138"/>
    <mergeCell ref="J138:K138"/>
    <mergeCell ref="L138:M138"/>
    <mergeCell ref="N138:Q138"/>
    <mergeCell ref="Y138:Z138"/>
    <mergeCell ref="N104:Q104"/>
    <mergeCell ref="R104:T104"/>
    <mergeCell ref="B173:B174"/>
    <mergeCell ref="C173:F173"/>
    <mergeCell ref="G173:I173"/>
    <mergeCell ref="J173:K173"/>
    <mergeCell ref="U104:X104"/>
    <mergeCell ref="L173:M173"/>
    <mergeCell ref="R173:T173"/>
    <mergeCell ref="U173:X173"/>
    <mergeCell ref="Y173:Z173"/>
    <mergeCell ref="AA37:AA38"/>
    <mergeCell ref="AA69:AA70"/>
    <mergeCell ref="AA104:AA105"/>
    <mergeCell ref="AA138:AA139"/>
    <mergeCell ref="AA173:AA174"/>
    <mergeCell ref="R138:T138"/>
    <mergeCell ref="U138:X138"/>
    <mergeCell ref="U37:X37"/>
    <mergeCell ref="Y37:Z37"/>
    <mergeCell ref="U69:X69"/>
    <mergeCell ref="Y69:Z69"/>
    <mergeCell ref="R37:T37"/>
    <mergeCell ref="AA242:AA243"/>
    <mergeCell ref="B242:B243"/>
    <mergeCell ref="C242:F242"/>
    <mergeCell ref="G242:I242"/>
    <mergeCell ref="J242:K242"/>
    <mergeCell ref="L242:M242"/>
    <mergeCell ref="N311:Q311"/>
    <mergeCell ref="R311:T311"/>
    <mergeCell ref="U311:X311"/>
    <mergeCell ref="Y311:Z311"/>
    <mergeCell ref="AA311:AA312"/>
    <mergeCell ref="B311:B312"/>
    <mergeCell ref="C311:F311"/>
    <mergeCell ref="G311:I311"/>
    <mergeCell ref="J311:K311"/>
    <mergeCell ref="L311:M311"/>
    <mergeCell ref="AA346:AA347"/>
    <mergeCell ref="B346:B347"/>
    <mergeCell ref="C346:F346"/>
    <mergeCell ref="G346:I346"/>
    <mergeCell ref="J346:K346"/>
    <mergeCell ref="L346:M346"/>
    <mergeCell ref="N346:Q346"/>
    <mergeCell ref="R346:T346"/>
    <mergeCell ref="U346:X346"/>
    <mergeCell ref="Y346:Z346"/>
    <mergeCell ref="AA380:AA381"/>
    <mergeCell ref="B380:B381"/>
    <mergeCell ref="C380:F380"/>
    <mergeCell ref="G380:I380"/>
    <mergeCell ref="J380:K380"/>
    <mergeCell ref="L380:M380"/>
    <mergeCell ref="N380:Q380"/>
    <mergeCell ref="R380:T380"/>
    <mergeCell ref="U380:X380"/>
    <mergeCell ref="Y380:Z380"/>
  </mergeCells>
  <phoneticPr fontId="1" type="noConversion"/>
  <conditionalFormatting sqref="H367:H378">
    <cfRule type="cellIs" dxfId="11" priority="1" operator="greaterThan">
      <formula>150</formula>
    </cfRule>
  </conditionalFormatting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27"/>
  <sheetViews>
    <sheetView zoomScale="70" zoomScaleNormal="7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N42" sqref="N42"/>
    </sheetView>
  </sheetViews>
  <sheetFormatPr defaultRowHeight="16.5"/>
  <cols>
    <col min="2" max="2" width="10.375" customWidth="1"/>
    <col min="3" max="3" width="8.5" customWidth="1"/>
    <col min="4" max="6" width="12.5" bestFit="1" customWidth="1"/>
    <col min="7" max="7" width="9.75" customWidth="1"/>
    <col min="8" max="9" width="9.625" bestFit="1" customWidth="1"/>
    <col min="10" max="10" width="15.5" bestFit="1" customWidth="1"/>
    <col min="11" max="11" width="12.5" bestFit="1" customWidth="1"/>
    <col min="12" max="12" width="10.75" bestFit="1" customWidth="1"/>
    <col min="13" max="13" width="12.375" customWidth="1"/>
    <col min="14" max="14" width="39.75" customWidth="1"/>
  </cols>
  <sheetData>
    <row r="1" spans="2:14" ht="17.25" thickBot="1"/>
    <row r="2" spans="2:14" ht="27" customHeight="1" thickBot="1">
      <c r="B2" s="217"/>
      <c r="C2" s="218" t="s">
        <v>137</v>
      </c>
      <c r="D2" s="219"/>
      <c r="E2" s="219"/>
      <c r="F2" s="219"/>
      <c r="G2" s="220"/>
      <c r="H2" s="221" t="s">
        <v>83</v>
      </c>
      <c r="I2" s="222"/>
      <c r="J2" s="222"/>
      <c r="K2" s="223"/>
      <c r="L2" s="222" t="s">
        <v>82</v>
      </c>
      <c r="M2" s="224"/>
      <c r="N2" s="225" t="s">
        <v>81</v>
      </c>
    </row>
    <row r="3" spans="2:14" ht="27" customHeight="1" thickBot="1">
      <c r="B3" s="195"/>
      <c r="C3" s="43" t="s">
        <v>75</v>
      </c>
      <c r="D3" s="45" t="s">
        <v>74</v>
      </c>
      <c r="E3" s="45" t="s">
        <v>80</v>
      </c>
      <c r="F3" s="45" t="s">
        <v>79</v>
      </c>
      <c r="G3" s="46" t="s">
        <v>78</v>
      </c>
      <c r="H3" s="43" t="s">
        <v>151</v>
      </c>
      <c r="I3" s="45" t="s">
        <v>77</v>
      </c>
      <c r="J3" s="45" t="s">
        <v>150</v>
      </c>
      <c r="K3" s="46" t="s">
        <v>76</v>
      </c>
      <c r="L3" s="185" t="s">
        <v>75</v>
      </c>
      <c r="M3" s="42" t="s">
        <v>74</v>
      </c>
      <c r="N3" s="226"/>
    </row>
    <row r="4" spans="2:14" ht="20.25" customHeight="1" thickBot="1">
      <c r="B4" s="23" t="s">
        <v>73</v>
      </c>
      <c r="C4" s="20">
        <f t="shared" ref="C4:K4" si="0">SUM(C5:C35)</f>
        <v>30</v>
      </c>
      <c r="D4" s="22">
        <f t="shared" si="0"/>
        <v>75</v>
      </c>
      <c r="E4" s="22">
        <f t="shared" si="0"/>
        <v>50</v>
      </c>
      <c r="F4" s="22">
        <f t="shared" si="0"/>
        <v>0</v>
      </c>
      <c r="G4" s="21">
        <f t="shared" si="0"/>
        <v>40</v>
      </c>
      <c r="H4" s="187">
        <f t="shared" si="0"/>
        <v>50</v>
      </c>
      <c r="I4" s="41">
        <f t="shared" si="0"/>
        <v>75</v>
      </c>
      <c r="J4" s="41">
        <f t="shared" si="0"/>
        <v>0</v>
      </c>
      <c r="K4" s="40">
        <f t="shared" si="0"/>
        <v>100</v>
      </c>
      <c r="L4" s="186">
        <f>SUM(L5:L35)</f>
        <v>3060</v>
      </c>
      <c r="M4" s="19">
        <f>SUM(M5:M35)</f>
        <v>2250</v>
      </c>
      <c r="N4" s="39"/>
    </row>
    <row r="5" spans="2:14">
      <c r="B5" s="12">
        <v>46023</v>
      </c>
      <c r="C5" s="15">
        <v>0</v>
      </c>
      <c r="D5" s="17">
        <v>0</v>
      </c>
      <c r="E5" s="17">
        <v>0</v>
      </c>
      <c r="F5" s="17">
        <v>0</v>
      </c>
      <c r="G5" s="16">
        <v>0</v>
      </c>
      <c r="H5" s="15">
        <v>0</v>
      </c>
      <c r="I5" s="38">
        <v>0</v>
      </c>
      <c r="J5" s="17">
        <v>0</v>
      </c>
      <c r="K5" s="16">
        <v>0</v>
      </c>
      <c r="L5" s="38">
        <v>150</v>
      </c>
      <c r="M5" s="16">
        <v>90</v>
      </c>
      <c r="N5" s="13" t="s">
        <v>29</v>
      </c>
    </row>
    <row r="6" spans="2:14">
      <c r="B6" s="34">
        <v>46024</v>
      </c>
      <c r="C6" s="9">
        <v>0</v>
      </c>
      <c r="D6" s="11">
        <v>0</v>
      </c>
      <c r="E6" s="11">
        <v>0</v>
      </c>
      <c r="F6" s="11">
        <v>0</v>
      </c>
      <c r="G6" s="10">
        <v>0</v>
      </c>
      <c r="H6" s="9">
        <v>0</v>
      </c>
      <c r="I6" s="37">
        <v>0</v>
      </c>
      <c r="J6" s="11">
        <v>0</v>
      </c>
      <c r="K6" s="10">
        <v>0</v>
      </c>
      <c r="L6" s="37">
        <v>0</v>
      </c>
      <c r="M6" s="10">
        <v>0</v>
      </c>
      <c r="N6" s="7" t="s">
        <v>28</v>
      </c>
    </row>
    <row r="7" spans="2:14">
      <c r="B7" s="34">
        <v>46025</v>
      </c>
      <c r="C7" s="9">
        <v>0</v>
      </c>
      <c r="D7" s="184">
        <v>0</v>
      </c>
      <c r="E7" s="11">
        <v>0</v>
      </c>
      <c r="F7" s="11">
        <v>0</v>
      </c>
      <c r="G7" s="10">
        <v>0</v>
      </c>
      <c r="H7" s="9">
        <v>0</v>
      </c>
      <c r="I7" s="11">
        <v>0</v>
      </c>
      <c r="J7" s="11">
        <v>0</v>
      </c>
      <c r="K7" s="188">
        <v>0</v>
      </c>
      <c r="L7" s="37">
        <v>0</v>
      </c>
      <c r="M7" s="10">
        <v>0</v>
      </c>
      <c r="N7" s="7" t="s">
        <v>27</v>
      </c>
    </row>
    <row r="8" spans="2:14">
      <c r="B8" s="34">
        <v>46026</v>
      </c>
      <c r="C8" s="183">
        <v>0</v>
      </c>
      <c r="D8" s="11">
        <v>0</v>
      </c>
      <c r="E8" s="37">
        <v>0</v>
      </c>
      <c r="F8" s="11">
        <v>0</v>
      </c>
      <c r="G8" s="10">
        <v>0</v>
      </c>
      <c r="H8" s="9">
        <v>0</v>
      </c>
      <c r="I8" s="37">
        <v>0</v>
      </c>
      <c r="J8" s="11">
        <v>0</v>
      </c>
      <c r="K8" s="188">
        <v>0</v>
      </c>
      <c r="L8" s="37">
        <v>0</v>
      </c>
      <c r="M8" s="37">
        <v>0</v>
      </c>
      <c r="N8" s="7" t="s">
        <v>26</v>
      </c>
    </row>
    <row r="9" spans="2:14">
      <c r="B9" s="34">
        <v>46027</v>
      </c>
      <c r="C9" s="9">
        <v>0</v>
      </c>
      <c r="D9" s="17">
        <v>0</v>
      </c>
      <c r="E9" s="11">
        <v>0</v>
      </c>
      <c r="F9" s="11">
        <v>0</v>
      </c>
      <c r="G9" s="10">
        <v>0</v>
      </c>
      <c r="H9" s="9">
        <v>0</v>
      </c>
      <c r="I9" s="37">
        <v>0</v>
      </c>
      <c r="J9" s="11">
        <v>0</v>
      </c>
      <c r="K9" s="10">
        <v>0</v>
      </c>
      <c r="L9" s="37">
        <v>0</v>
      </c>
      <c r="M9" s="10">
        <v>0</v>
      </c>
      <c r="N9" s="7" t="s">
        <v>25</v>
      </c>
    </row>
    <row r="10" spans="2:14">
      <c r="B10" s="34">
        <v>46028</v>
      </c>
      <c r="C10" s="9">
        <v>0</v>
      </c>
      <c r="D10" s="11">
        <v>0</v>
      </c>
      <c r="E10" s="11">
        <v>0</v>
      </c>
      <c r="F10" s="11">
        <v>0</v>
      </c>
      <c r="G10" s="10">
        <v>0</v>
      </c>
      <c r="H10" s="9">
        <v>0</v>
      </c>
      <c r="I10" s="37">
        <v>0</v>
      </c>
      <c r="J10" s="11">
        <v>0</v>
      </c>
      <c r="K10" s="10">
        <v>0</v>
      </c>
      <c r="L10" s="37">
        <v>0</v>
      </c>
      <c r="M10" s="10">
        <v>0</v>
      </c>
      <c r="N10" s="7" t="s">
        <v>24</v>
      </c>
    </row>
    <row r="11" spans="2:14">
      <c r="B11" s="34">
        <v>46029</v>
      </c>
      <c r="C11" s="9">
        <v>0</v>
      </c>
      <c r="D11" s="11">
        <v>0</v>
      </c>
      <c r="E11" s="11">
        <v>0</v>
      </c>
      <c r="F11" s="11">
        <v>0</v>
      </c>
      <c r="G11" s="10">
        <v>0</v>
      </c>
      <c r="H11" s="9">
        <v>0</v>
      </c>
      <c r="I11" s="37">
        <v>0</v>
      </c>
      <c r="J11" s="11">
        <v>0</v>
      </c>
      <c r="K11" s="10">
        <v>0</v>
      </c>
      <c r="L11" s="37">
        <v>240</v>
      </c>
      <c r="M11" s="10">
        <v>180</v>
      </c>
      <c r="N11" s="7" t="s">
        <v>23</v>
      </c>
    </row>
    <row r="12" spans="2:14">
      <c r="B12" s="34">
        <v>46030</v>
      </c>
      <c r="C12" s="9">
        <v>0</v>
      </c>
      <c r="D12" s="11">
        <v>0</v>
      </c>
      <c r="E12" s="11">
        <v>0</v>
      </c>
      <c r="F12" s="11">
        <v>0</v>
      </c>
      <c r="G12" s="10">
        <v>0</v>
      </c>
      <c r="H12" s="9">
        <v>0</v>
      </c>
      <c r="I12" s="37">
        <v>0</v>
      </c>
      <c r="J12" s="11">
        <v>0</v>
      </c>
      <c r="K12" s="10">
        <v>0</v>
      </c>
      <c r="L12" s="37">
        <v>240</v>
      </c>
      <c r="M12" s="10">
        <v>180</v>
      </c>
      <c r="N12" s="7" t="s">
        <v>22</v>
      </c>
    </row>
    <row r="13" spans="2:14">
      <c r="B13" s="34">
        <v>46031</v>
      </c>
      <c r="C13" s="9">
        <v>0</v>
      </c>
      <c r="D13" s="11">
        <v>0</v>
      </c>
      <c r="E13" s="11">
        <v>0</v>
      </c>
      <c r="F13" s="11">
        <v>0</v>
      </c>
      <c r="G13" s="10">
        <v>0</v>
      </c>
      <c r="H13" s="9">
        <v>25</v>
      </c>
      <c r="I13" s="37">
        <v>0</v>
      </c>
      <c r="J13" s="11">
        <v>0</v>
      </c>
      <c r="K13" s="10">
        <v>25</v>
      </c>
      <c r="L13" s="37">
        <v>240</v>
      </c>
      <c r="M13" s="10">
        <v>180</v>
      </c>
      <c r="N13" s="7" t="s">
        <v>21</v>
      </c>
    </row>
    <row r="14" spans="2:14">
      <c r="B14" s="34">
        <v>46032</v>
      </c>
      <c r="C14" s="9">
        <v>0</v>
      </c>
      <c r="D14" s="11">
        <v>0</v>
      </c>
      <c r="E14" s="11">
        <v>0</v>
      </c>
      <c r="F14" s="11">
        <v>0</v>
      </c>
      <c r="G14" s="10">
        <v>0</v>
      </c>
      <c r="H14" s="9">
        <v>0</v>
      </c>
      <c r="I14" s="37">
        <v>0</v>
      </c>
      <c r="J14" s="11">
        <v>0</v>
      </c>
      <c r="K14" s="10">
        <v>0</v>
      </c>
      <c r="L14" s="37">
        <v>270</v>
      </c>
      <c r="M14" s="10">
        <v>180</v>
      </c>
      <c r="N14" s="7" t="s">
        <v>20</v>
      </c>
    </row>
    <row r="15" spans="2:14">
      <c r="B15" s="34">
        <v>46033</v>
      </c>
      <c r="C15" s="9">
        <v>0</v>
      </c>
      <c r="D15" s="11">
        <v>0</v>
      </c>
      <c r="E15" s="11">
        <v>0</v>
      </c>
      <c r="F15" s="11">
        <v>0</v>
      </c>
      <c r="G15" s="10">
        <v>0</v>
      </c>
      <c r="H15" s="9">
        <v>0</v>
      </c>
      <c r="I15" s="37">
        <v>0</v>
      </c>
      <c r="J15" s="11">
        <v>0</v>
      </c>
      <c r="K15" s="10">
        <v>0</v>
      </c>
      <c r="L15" s="37">
        <v>0</v>
      </c>
      <c r="M15" s="10">
        <v>0</v>
      </c>
      <c r="N15" s="7" t="s">
        <v>19</v>
      </c>
    </row>
    <row r="16" spans="2:14">
      <c r="B16" s="34">
        <v>46034</v>
      </c>
      <c r="C16" s="9">
        <v>0</v>
      </c>
      <c r="D16" s="11">
        <v>25</v>
      </c>
      <c r="E16" s="11">
        <v>0</v>
      </c>
      <c r="F16" s="11">
        <v>0</v>
      </c>
      <c r="G16" s="10">
        <v>0</v>
      </c>
      <c r="H16" s="9">
        <v>0</v>
      </c>
      <c r="I16" s="37">
        <v>25</v>
      </c>
      <c r="J16" s="11">
        <v>0</v>
      </c>
      <c r="K16" s="10">
        <v>25</v>
      </c>
      <c r="L16" s="37">
        <v>0</v>
      </c>
      <c r="M16" s="10">
        <v>0</v>
      </c>
      <c r="N16" s="7" t="s">
        <v>18</v>
      </c>
    </row>
    <row r="17" spans="2:14">
      <c r="B17" s="34">
        <v>46035</v>
      </c>
      <c r="C17" s="9">
        <v>0</v>
      </c>
      <c r="D17" s="11">
        <v>0</v>
      </c>
      <c r="E17" s="11">
        <v>0</v>
      </c>
      <c r="F17" s="11">
        <v>0</v>
      </c>
      <c r="G17" s="10">
        <v>0</v>
      </c>
      <c r="H17" s="9">
        <v>0</v>
      </c>
      <c r="I17" s="37">
        <v>0</v>
      </c>
      <c r="J17" s="11">
        <v>0</v>
      </c>
      <c r="K17" s="10">
        <v>0</v>
      </c>
      <c r="L17" s="37">
        <v>0</v>
      </c>
      <c r="M17" s="10">
        <v>0</v>
      </c>
      <c r="N17" s="7" t="s">
        <v>17</v>
      </c>
    </row>
    <row r="18" spans="2:14">
      <c r="B18" s="34">
        <v>46036</v>
      </c>
      <c r="C18" s="9">
        <v>0</v>
      </c>
      <c r="D18" s="11">
        <v>0</v>
      </c>
      <c r="E18" s="11">
        <v>0</v>
      </c>
      <c r="F18" s="11">
        <v>0</v>
      </c>
      <c r="G18" s="10">
        <v>0</v>
      </c>
      <c r="H18" s="9">
        <v>0</v>
      </c>
      <c r="I18" s="37">
        <v>0</v>
      </c>
      <c r="J18" s="11">
        <v>0</v>
      </c>
      <c r="K18" s="10">
        <v>0</v>
      </c>
      <c r="L18" s="37">
        <v>0</v>
      </c>
      <c r="M18" s="10">
        <v>0</v>
      </c>
      <c r="N18" s="7" t="s">
        <v>16</v>
      </c>
    </row>
    <row r="19" spans="2:14">
      <c r="B19" s="34">
        <v>46037</v>
      </c>
      <c r="C19" s="9">
        <v>0</v>
      </c>
      <c r="D19" s="11">
        <v>0</v>
      </c>
      <c r="E19" s="11">
        <v>0</v>
      </c>
      <c r="F19" s="11">
        <v>0</v>
      </c>
      <c r="G19" s="10">
        <v>0</v>
      </c>
      <c r="H19" s="9">
        <v>0</v>
      </c>
      <c r="I19" s="37">
        <v>0</v>
      </c>
      <c r="J19" s="11">
        <v>0</v>
      </c>
      <c r="K19" s="10">
        <v>0</v>
      </c>
      <c r="L19" s="37">
        <v>240</v>
      </c>
      <c r="M19" s="10">
        <v>180</v>
      </c>
      <c r="N19" s="7" t="s">
        <v>15</v>
      </c>
    </row>
    <row r="20" spans="2:14">
      <c r="B20" s="34">
        <v>46038</v>
      </c>
      <c r="C20" s="9">
        <v>0</v>
      </c>
      <c r="D20" s="11">
        <v>0</v>
      </c>
      <c r="E20" s="11">
        <v>0</v>
      </c>
      <c r="F20" s="11">
        <v>0</v>
      </c>
      <c r="G20" s="10">
        <v>0</v>
      </c>
      <c r="H20" s="9">
        <v>0</v>
      </c>
      <c r="I20" s="37">
        <v>25</v>
      </c>
      <c r="J20" s="11">
        <v>0</v>
      </c>
      <c r="K20" s="10">
        <v>0</v>
      </c>
      <c r="L20" s="37">
        <v>0</v>
      </c>
      <c r="M20" s="10">
        <v>0</v>
      </c>
      <c r="N20" s="7" t="s">
        <v>14</v>
      </c>
    </row>
    <row r="21" spans="2:14">
      <c r="B21" s="34">
        <v>46039</v>
      </c>
      <c r="C21" s="9">
        <v>0</v>
      </c>
      <c r="D21" s="11">
        <v>0</v>
      </c>
      <c r="E21" s="11">
        <v>0</v>
      </c>
      <c r="F21" s="11">
        <v>0</v>
      </c>
      <c r="G21" s="10">
        <v>0</v>
      </c>
      <c r="H21" s="9">
        <v>0</v>
      </c>
      <c r="I21" s="37">
        <v>0</v>
      </c>
      <c r="J21" s="11">
        <v>0</v>
      </c>
      <c r="K21" s="10">
        <v>0</v>
      </c>
      <c r="L21" s="37">
        <v>0</v>
      </c>
      <c r="M21" s="10">
        <v>0</v>
      </c>
      <c r="N21" s="7" t="s">
        <v>13</v>
      </c>
    </row>
    <row r="22" spans="2:14">
      <c r="B22" s="34">
        <v>46040</v>
      </c>
      <c r="C22" s="9">
        <v>0</v>
      </c>
      <c r="D22" s="11">
        <v>0</v>
      </c>
      <c r="E22" s="11">
        <v>0</v>
      </c>
      <c r="F22" s="11">
        <v>0</v>
      </c>
      <c r="G22" s="10">
        <v>0</v>
      </c>
      <c r="H22" s="9">
        <v>0</v>
      </c>
      <c r="I22" s="37">
        <v>0</v>
      </c>
      <c r="J22" s="11">
        <v>0</v>
      </c>
      <c r="K22" s="10">
        <v>0</v>
      </c>
      <c r="L22" s="37">
        <v>0</v>
      </c>
      <c r="M22" s="10">
        <v>0</v>
      </c>
      <c r="N22" s="7" t="s">
        <v>12</v>
      </c>
    </row>
    <row r="23" spans="2:14">
      <c r="B23" s="34">
        <v>46041</v>
      </c>
      <c r="C23" s="9">
        <v>0</v>
      </c>
      <c r="D23" s="11">
        <v>0</v>
      </c>
      <c r="E23" s="11">
        <v>0</v>
      </c>
      <c r="F23" s="11">
        <v>0</v>
      </c>
      <c r="G23" s="10">
        <v>0</v>
      </c>
      <c r="H23" s="9">
        <v>25</v>
      </c>
      <c r="I23" s="37">
        <v>0</v>
      </c>
      <c r="J23" s="11">
        <v>0</v>
      </c>
      <c r="K23" s="10">
        <v>0</v>
      </c>
      <c r="L23" s="37">
        <v>240</v>
      </c>
      <c r="M23" s="10">
        <v>180</v>
      </c>
      <c r="N23" s="7" t="s">
        <v>11</v>
      </c>
    </row>
    <row r="24" spans="2:14">
      <c r="B24" s="34">
        <v>46042</v>
      </c>
      <c r="C24" s="9">
        <v>0</v>
      </c>
      <c r="D24" s="11">
        <v>25</v>
      </c>
      <c r="E24" s="11">
        <v>0</v>
      </c>
      <c r="F24" s="11">
        <v>0</v>
      </c>
      <c r="G24" s="10">
        <v>0</v>
      </c>
      <c r="H24" s="9">
        <v>0</v>
      </c>
      <c r="I24" s="37">
        <v>0</v>
      </c>
      <c r="J24" s="11">
        <v>0</v>
      </c>
      <c r="K24" s="10">
        <v>0</v>
      </c>
      <c r="L24" s="37">
        <v>240</v>
      </c>
      <c r="M24" s="10">
        <v>180</v>
      </c>
      <c r="N24" s="7" t="s">
        <v>10</v>
      </c>
    </row>
    <row r="25" spans="2:14">
      <c r="B25" s="34">
        <v>46043</v>
      </c>
      <c r="C25" s="9">
        <v>0</v>
      </c>
      <c r="D25" s="11">
        <v>0</v>
      </c>
      <c r="E25" s="11">
        <v>0</v>
      </c>
      <c r="F25" s="11">
        <v>0</v>
      </c>
      <c r="G25" s="10">
        <v>0</v>
      </c>
      <c r="H25" s="9">
        <v>0</v>
      </c>
      <c r="I25" s="37">
        <v>0</v>
      </c>
      <c r="J25" s="11">
        <v>0</v>
      </c>
      <c r="K25" s="10">
        <v>0</v>
      </c>
      <c r="L25" s="37">
        <v>120</v>
      </c>
      <c r="M25" s="10">
        <v>90</v>
      </c>
      <c r="N25" s="7" t="s">
        <v>9</v>
      </c>
    </row>
    <row r="26" spans="2:14">
      <c r="B26" s="34">
        <v>46044</v>
      </c>
      <c r="C26" s="9">
        <v>0</v>
      </c>
      <c r="D26" s="11">
        <v>0</v>
      </c>
      <c r="E26" s="11">
        <v>25</v>
      </c>
      <c r="F26" s="11">
        <v>0</v>
      </c>
      <c r="G26" s="10">
        <v>0</v>
      </c>
      <c r="H26" s="9">
        <v>0</v>
      </c>
      <c r="I26" s="37">
        <v>0</v>
      </c>
      <c r="J26" s="11">
        <v>0</v>
      </c>
      <c r="K26" s="10">
        <v>0</v>
      </c>
      <c r="L26" s="37">
        <v>120</v>
      </c>
      <c r="M26" s="10">
        <v>90</v>
      </c>
      <c r="N26" s="7" t="s">
        <v>8</v>
      </c>
    </row>
    <row r="27" spans="2:14">
      <c r="B27" s="34">
        <v>46045</v>
      </c>
      <c r="C27" s="9">
        <v>0</v>
      </c>
      <c r="D27" s="11">
        <v>0</v>
      </c>
      <c r="E27" s="11">
        <v>0</v>
      </c>
      <c r="F27" s="11">
        <v>0</v>
      </c>
      <c r="G27" s="10">
        <v>0</v>
      </c>
      <c r="H27" s="9">
        <v>0</v>
      </c>
      <c r="I27" s="37">
        <v>0</v>
      </c>
      <c r="J27" s="11">
        <v>0</v>
      </c>
      <c r="K27" s="10">
        <v>0</v>
      </c>
      <c r="L27" s="37">
        <v>0</v>
      </c>
      <c r="M27" s="10">
        <v>0</v>
      </c>
      <c r="N27" s="7" t="s">
        <v>183</v>
      </c>
    </row>
    <row r="28" spans="2:14">
      <c r="B28" s="34">
        <v>46046</v>
      </c>
      <c r="C28" s="9">
        <v>0</v>
      </c>
      <c r="D28" s="11">
        <v>0</v>
      </c>
      <c r="E28" s="11">
        <v>0</v>
      </c>
      <c r="F28" s="11">
        <v>0</v>
      </c>
      <c r="G28" s="10">
        <v>0</v>
      </c>
      <c r="H28" s="9">
        <v>0</v>
      </c>
      <c r="I28" s="37">
        <v>0</v>
      </c>
      <c r="J28" s="11">
        <v>0</v>
      </c>
      <c r="K28" s="10">
        <v>0</v>
      </c>
      <c r="L28" s="37">
        <v>0</v>
      </c>
      <c r="M28" s="10">
        <v>0</v>
      </c>
      <c r="N28" s="7" t="s">
        <v>6</v>
      </c>
    </row>
    <row r="29" spans="2:14">
      <c r="B29" s="34">
        <v>46047</v>
      </c>
      <c r="C29" s="9">
        <v>0</v>
      </c>
      <c r="D29" s="11">
        <v>0</v>
      </c>
      <c r="E29" s="11">
        <v>0</v>
      </c>
      <c r="F29" s="11">
        <v>0</v>
      </c>
      <c r="G29" s="10">
        <v>0</v>
      </c>
      <c r="H29" s="9">
        <v>0</v>
      </c>
      <c r="I29" s="37">
        <v>25</v>
      </c>
      <c r="J29" s="11">
        <v>0</v>
      </c>
      <c r="K29" s="10">
        <v>25</v>
      </c>
      <c r="L29" s="37">
        <v>120</v>
      </c>
      <c r="M29" s="10">
        <v>90</v>
      </c>
      <c r="N29" s="7" t="s">
        <v>5</v>
      </c>
    </row>
    <row r="30" spans="2:14">
      <c r="B30" s="34">
        <v>46048</v>
      </c>
      <c r="C30" s="9">
        <v>0</v>
      </c>
      <c r="D30" s="11">
        <v>0</v>
      </c>
      <c r="E30" s="11">
        <v>0</v>
      </c>
      <c r="F30" s="11">
        <v>0</v>
      </c>
      <c r="G30" s="10">
        <v>0</v>
      </c>
      <c r="H30" s="9">
        <v>0</v>
      </c>
      <c r="I30" s="37">
        <v>0</v>
      </c>
      <c r="J30" s="11">
        <v>0</v>
      </c>
      <c r="K30" s="10">
        <v>0</v>
      </c>
      <c r="L30" s="37">
        <v>120</v>
      </c>
      <c r="M30" s="10">
        <v>90</v>
      </c>
      <c r="N30" s="7" t="s">
        <v>4</v>
      </c>
    </row>
    <row r="31" spans="2:14">
      <c r="B31" s="34">
        <v>46049</v>
      </c>
      <c r="C31" s="9">
        <v>30</v>
      </c>
      <c r="D31" s="11">
        <v>25</v>
      </c>
      <c r="E31" s="11">
        <v>0</v>
      </c>
      <c r="F31" s="11">
        <v>0</v>
      </c>
      <c r="G31" s="10">
        <v>20</v>
      </c>
      <c r="H31" s="9">
        <v>0</v>
      </c>
      <c r="I31" s="37">
        <v>0</v>
      </c>
      <c r="J31" s="11">
        <v>0</v>
      </c>
      <c r="K31" s="10">
        <v>0</v>
      </c>
      <c r="L31" s="37">
        <v>240</v>
      </c>
      <c r="M31" s="10">
        <v>180</v>
      </c>
      <c r="N31" s="7" t="s">
        <v>3</v>
      </c>
    </row>
    <row r="32" spans="2:14">
      <c r="B32" s="34">
        <v>46050</v>
      </c>
      <c r="C32" s="9">
        <v>0</v>
      </c>
      <c r="D32" s="11">
        <v>0</v>
      </c>
      <c r="E32" s="11">
        <v>0</v>
      </c>
      <c r="F32" s="11">
        <v>0</v>
      </c>
      <c r="G32" s="10">
        <v>0</v>
      </c>
      <c r="H32" s="9">
        <v>0</v>
      </c>
      <c r="I32" s="37">
        <v>0</v>
      </c>
      <c r="J32" s="11">
        <v>0</v>
      </c>
      <c r="K32" s="10">
        <v>0</v>
      </c>
      <c r="L32" s="37">
        <v>0</v>
      </c>
      <c r="M32" s="10">
        <v>0</v>
      </c>
      <c r="N32" s="7" t="s">
        <v>2</v>
      </c>
    </row>
    <row r="33" spans="2:14">
      <c r="B33" s="34">
        <v>46051</v>
      </c>
      <c r="C33" s="9">
        <v>0</v>
      </c>
      <c r="D33" s="11">
        <v>0</v>
      </c>
      <c r="E33" s="11">
        <v>0</v>
      </c>
      <c r="F33" s="11">
        <v>0</v>
      </c>
      <c r="G33" s="10">
        <v>0</v>
      </c>
      <c r="H33" s="9">
        <v>0</v>
      </c>
      <c r="I33" s="37">
        <v>0</v>
      </c>
      <c r="J33" s="11">
        <v>0</v>
      </c>
      <c r="K33" s="10">
        <v>0</v>
      </c>
      <c r="L33" s="37">
        <v>0</v>
      </c>
      <c r="M33" s="10">
        <v>0</v>
      </c>
      <c r="N33" s="7" t="s">
        <v>1</v>
      </c>
    </row>
    <row r="34" spans="2:14">
      <c r="B34" s="34">
        <v>46052</v>
      </c>
      <c r="C34" s="9">
        <v>0</v>
      </c>
      <c r="D34" s="11">
        <v>0</v>
      </c>
      <c r="E34" s="11">
        <v>0</v>
      </c>
      <c r="F34" s="11">
        <v>0</v>
      </c>
      <c r="G34" s="10">
        <v>0</v>
      </c>
      <c r="H34" s="9">
        <v>0</v>
      </c>
      <c r="I34" s="37">
        <v>0</v>
      </c>
      <c r="J34" s="11">
        <v>0</v>
      </c>
      <c r="K34" s="10">
        <v>0</v>
      </c>
      <c r="L34" s="37">
        <v>240</v>
      </c>
      <c r="M34" s="10">
        <v>180</v>
      </c>
      <c r="N34" s="7" t="s">
        <v>59</v>
      </c>
    </row>
    <row r="35" spans="2:14" ht="17.25" thickBot="1">
      <c r="B35" s="33">
        <v>46053</v>
      </c>
      <c r="C35" s="3">
        <v>0</v>
      </c>
      <c r="D35" s="5">
        <v>0</v>
      </c>
      <c r="E35" s="5">
        <v>25</v>
      </c>
      <c r="F35" s="5">
        <v>0</v>
      </c>
      <c r="G35" s="4">
        <v>20</v>
      </c>
      <c r="H35" s="3">
        <v>0</v>
      </c>
      <c r="I35" s="36">
        <v>0</v>
      </c>
      <c r="J35" s="5">
        <v>0</v>
      </c>
      <c r="K35" s="4">
        <v>25</v>
      </c>
      <c r="L35" s="36">
        <v>240</v>
      </c>
      <c r="M35" s="4">
        <v>180</v>
      </c>
      <c r="N35" s="1" t="s">
        <v>72</v>
      </c>
    </row>
    <row r="38" spans="2:14" ht="17.25" thickBot="1"/>
    <row r="39" spans="2:14" ht="21.75" thickBot="1">
      <c r="B39" s="217"/>
      <c r="C39" s="218" t="s">
        <v>137</v>
      </c>
      <c r="D39" s="219"/>
      <c r="E39" s="219"/>
      <c r="F39" s="219"/>
      <c r="G39" s="220"/>
      <c r="H39" s="221" t="s">
        <v>83</v>
      </c>
      <c r="I39" s="222"/>
      <c r="J39" s="222"/>
      <c r="K39" s="223"/>
      <c r="L39" s="221" t="s">
        <v>82</v>
      </c>
      <c r="M39" s="224"/>
      <c r="N39" s="225" t="s">
        <v>81</v>
      </c>
    </row>
    <row r="40" spans="2:14" ht="20.25" thickBot="1">
      <c r="B40" s="195"/>
      <c r="C40" s="43" t="s">
        <v>75</v>
      </c>
      <c r="D40" s="45" t="s">
        <v>74</v>
      </c>
      <c r="E40" s="45" t="s">
        <v>80</v>
      </c>
      <c r="F40" s="45" t="s">
        <v>79</v>
      </c>
      <c r="G40" s="46" t="s">
        <v>78</v>
      </c>
      <c r="H40" s="45" t="s">
        <v>151</v>
      </c>
      <c r="I40" s="45" t="s">
        <v>77</v>
      </c>
      <c r="J40" s="45" t="s">
        <v>150</v>
      </c>
      <c r="K40" s="44" t="s">
        <v>76</v>
      </c>
      <c r="L40" s="43" t="s">
        <v>75</v>
      </c>
      <c r="M40" s="42" t="s">
        <v>74</v>
      </c>
      <c r="N40" s="226"/>
    </row>
    <row r="41" spans="2:14" ht="21.75" thickBot="1">
      <c r="B41" s="23" t="s">
        <v>71</v>
      </c>
      <c r="C41" s="20">
        <f t="shared" ref="C41:K41" si="1">SUM(C42:C69)</f>
        <v>0</v>
      </c>
      <c r="D41" s="22">
        <f t="shared" si="1"/>
        <v>0</v>
      </c>
      <c r="E41" s="22">
        <f t="shared" si="1"/>
        <v>0</v>
      </c>
      <c r="F41" s="22">
        <f t="shared" si="1"/>
        <v>0</v>
      </c>
      <c r="G41" s="21">
        <f t="shared" si="1"/>
        <v>0</v>
      </c>
      <c r="H41" s="41">
        <f t="shared" si="1"/>
        <v>25</v>
      </c>
      <c r="I41" s="41">
        <f t="shared" si="1"/>
        <v>25</v>
      </c>
      <c r="J41" s="41">
        <f t="shared" si="1"/>
        <v>0</v>
      </c>
      <c r="K41" s="40">
        <f t="shared" si="1"/>
        <v>0</v>
      </c>
      <c r="L41" s="20">
        <f>SUM(L42:L69)</f>
        <v>120</v>
      </c>
      <c r="M41" s="19">
        <f>SUM(M42:M69)</f>
        <v>90</v>
      </c>
      <c r="N41" s="39"/>
    </row>
    <row r="42" spans="2:14">
      <c r="B42" s="12">
        <v>46054</v>
      </c>
      <c r="C42" s="15">
        <v>0</v>
      </c>
      <c r="D42" s="17">
        <v>0</v>
      </c>
      <c r="E42" s="17">
        <v>0</v>
      </c>
      <c r="F42" s="17">
        <v>0</v>
      </c>
      <c r="G42" s="16">
        <v>0</v>
      </c>
      <c r="H42" s="38">
        <v>25</v>
      </c>
      <c r="I42" s="38">
        <v>25</v>
      </c>
      <c r="J42" s="17">
        <v>0</v>
      </c>
      <c r="K42" s="16">
        <v>0</v>
      </c>
      <c r="L42" s="15">
        <v>120</v>
      </c>
      <c r="M42" s="16">
        <v>90</v>
      </c>
      <c r="N42" s="13" t="s">
        <v>29</v>
      </c>
    </row>
    <row r="43" spans="2:14">
      <c r="B43" s="12">
        <v>46055</v>
      </c>
      <c r="C43" s="9"/>
      <c r="D43" s="11"/>
      <c r="E43" s="11"/>
      <c r="F43" s="11"/>
      <c r="G43" s="10"/>
      <c r="H43" s="37"/>
      <c r="I43" s="37"/>
      <c r="J43" s="11"/>
      <c r="K43" s="10"/>
      <c r="L43" s="9"/>
      <c r="M43" s="10"/>
      <c r="N43" s="7" t="s">
        <v>28</v>
      </c>
    </row>
    <row r="44" spans="2:14">
      <c r="B44" s="12">
        <v>46056</v>
      </c>
      <c r="C44" s="9"/>
      <c r="D44" s="11"/>
      <c r="E44" s="11"/>
      <c r="F44" s="11"/>
      <c r="G44" s="10"/>
      <c r="H44" s="37"/>
      <c r="I44" s="37"/>
      <c r="J44" s="11"/>
      <c r="K44" s="10"/>
      <c r="L44" s="9"/>
      <c r="M44" s="10"/>
      <c r="N44" s="7" t="s">
        <v>27</v>
      </c>
    </row>
    <row r="45" spans="2:14">
      <c r="B45" s="12">
        <v>46057</v>
      </c>
      <c r="C45" s="9"/>
      <c r="D45" s="11"/>
      <c r="E45" s="11"/>
      <c r="F45" s="11"/>
      <c r="G45" s="10"/>
      <c r="H45" s="37"/>
      <c r="I45" s="37"/>
      <c r="J45" s="11"/>
      <c r="K45" s="10"/>
      <c r="L45" s="9"/>
      <c r="M45" s="10"/>
      <c r="N45" s="7" t="s">
        <v>26</v>
      </c>
    </row>
    <row r="46" spans="2:14">
      <c r="B46" s="12">
        <v>46058</v>
      </c>
      <c r="C46" s="9"/>
      <c r="D46" s="11"/>
      <c r="E46" s="11"/>
      <c r="F46" s="11"/>
      <c r="G46" s="10"/>
      <c r="H46" s="37"/>
      <c r="I46" s="37"/>
      <c r="J46" s="11"/>
      <c r="K46" s="10"/>
      <c r="L46" s="9"/>
      <c r="M46" s="10"/>
      <c r="N46" s="7" t="s">
        <v>25</v>
      </c>
    </row>
    <row r="47" spans="2:14">
      <c r="B47" s="12">
        <v>46059</v>
      </c>
      <c r="C47" s="9"/>
      <c r="D47" s="11"/>
      <c r="E47" s="11"/>
      <c r="F47" s="11"/>
      <c r="G47" s="10"/>
      <c r="H47" s="37"/>
      <c r="I47" s="37"/>
      <c r="J47" s="11"/>
      <c r="K47" s="10"/>
      <c r="L47" s="9"/>
      <c r="M47" s="10"/>
      <c r="N47" s="7" t="s">
        <v>24</v>
      </c>
    </row>
    <row r="48" spans="2:14">
      <c r="B48" s="12">
        <v>46060</v>
      </c>
      <c r="C48" s="9"/>
      <c r="D48" s="11"/>
      <c r="E48" s="11"/>
      <c r="F48" s="11"/>
      <c r="G48" s="10"/>
      <c r="H48" s="37"/>
      <c r="I48" s="37"/>
      <c r="J48" s="11"/>
      <c r="K48" s="10"/>
      <c r="L48" s="9"/>
      <c r="M48" s="10"/>
      <c r="N48" s="7" t="s">
        <v>23</v>
      </c>
    </row>
    <row r="49" spans="2:14">
      <c r="B49" s="12">
        <v>46061</v>
      </c>
      <c r="C49" s="9"/>
      <c r="D49" s="11"/>
      <c r="E49" s="11"/>
      <c r="F49" s="11"/>
      <c r="G49" s="10"/>
      <c r="H49" s="37"/>
      <c r="I49" s="37"/>
      <c r="J49" s="11"/>
      <c r="K49" s="10"/>
      <c r="L49" s="9"/>
      <c r="M49" s="10"/>
      <c r="N49" s="7" t="s">
        <v>22</v>
      </c>
    </row>
    <row r="50" spans="2:14">
      <c r="B50" s="12">
        <v>46062</v>
      </c>
      <c r="C50" s="9"/>
      <c r="D50" s="11"/>
      <c r="E50" s="11"/>
      <c r="F50" s="11"/>
      <c r="G50" s="10"/>
      <c r="H50" s="37"/>
      <c r="I50" s="37"/>
      <c r="J50" s="11"/>
      <c r="K50" s="10"/>
      <c r="L50" s="9"/>
      <c r="M50" s="10"/>
      <c r="N50" s="7" t="s">
        <v>21</v>
      </c>
    </row>
    <row r="51" spans="2:14">
      <c r="B51" s="12">
        <v>46063</v>
      </c>
      <c r="C51" s="9"/>
      <c r="D51" s="11"/>
      <c r="E51" s="11"/>
      <c r="F51" s="11"/>
      <c r="G51" s="10"/>
      <c r="H51" s="37"/>
      <c r="I51" s="37"/>
      <c r="J51" s="11"/>
      <c r="K51" s="10"/>
      <c r="L51" s="9"/>
      <c r="M51" s="10"/>
      <c r="N51" s="7" t="s">
        <v>20</v>
      </c>
    </row>
    <row r="52" spans="2:14">
      <c r="B52" s="12">
        <v>46064</v>
      </c>
      <c r="C52" s="9"/>
      <c r="D52" s="11"/>
      <c r="E52" s="11"/>
      <c r="F52" s="11"/>
      <c r="G52" s="10"/>
      <c r="H52" s="37"/>
      <c r="I52" s="37"/>
      <c r="J52" s="11"/>
      <c r="K52" s="10"/>
      <c r="L52" s="9"/>
      <c r="M52" s="10"/>
      <c r="N52" s="7" t="s">
        <v>19</v>
      </c>
    </row>
    <row r="53" spans="2:14">
      <c r="B53" s="12">
        <v>46065</v>
      </c>
      <c r="C53" s="9"/>
      <c r="D53" s="11"/>
      <c r="E53" s="11"/>
      <c r="F53" s="11"/>
      <c r="G53" s="10"/>
      <c r="H53" s="37"/>
      <c r="I53" s="37"/>
      <c r="J53" s="11"/>
      <c r="K53" s="10"/>
      <c r="L53" s="9"/>
      <c r="M53" s="10"/>
      <c r="N53" s="7" t="s">
        <v>18</v>
      </c>
    </row>
    <row r="54" spans="2:14">
      <c r="B54" s="12">
        <v>46066</v>
      </c>
      <c r="C54" s="9"/>
      <c r="D54" s="11"/>
      <c r="E54" s="11"/>
      <c r="F54" s="11"/>
      <c r="G54" s="10"/>
      <c r="H54" s="37"/>
      <c r="I54" s="37"/>
      <c r="J54" s="11"/>
      <c r="K54" s="10"/>
      <c r="L54" s="9"/>
      <c r="M54" s="10"/>
      <c r="N54" s="7" t="s">
        <v>17</v>
      </c>
    </row>
    <row r="55" spans="2:14">
      <c r="B55" s="12">
        <v>46067</v>
      </c>
      <c r="C55" s="9"/>
      <c r="D55" s="11"/>
      <c r="E55" s="11"/>
      <c r="F55" s="11"/>
      <c r="G55" s="10"/>
      <c r="H55" s="37"/>
      <c r="I55" s="37"/>
      <c r="J55" s="11"/>
      <c r="K55" s="10"/>
      <c r="L55" s="9"/>
      <c r="M55" s="10"/>
      <c r="N55" s="7" t="s">
        <v>16</v>
      </c>
    </row>
    <row r="56" spans="2:14">
      <c r="B56" s="12">
        <v>46068</v>
      </c>
      <c r="C56" s="9"/>
      <c r="D56" s="11"/>
      <c r="E56" s="11"/>
      <c r="F56" s="11"/>
      <c r="G56" s="10"/>
      <c r="H56" s="37"/>
      <c r="I56" s="37"/>
      <c r="J56" s="11"/>
      <c r="K56" s="10"/>
      <c r="L56" s="9"/>
      <c r="M56" s="10"/>
      <c r="N56" s="7" t="s">
        <v>15</v>
      </c>
    </row>
    <row r="57" spans="2:14">
      <c r="B57" s="12">
        <v>46069</v>
      </c>
      <c r="C57" s="9"/>
      <c r="D57" s="11"/>
      <c r="E57" s="11"/>
      <c r="F57" s="11"/>
      <c r="G57" s="10"/>
      <c r="H57" s="37"/>
      <c r="I57" s="37"/>
      <c r="J57" s="11"/>
      <c r="K57" s="10"/>
      <c r="L57" s="9"/>
      <c r="M57" s="10"/>
      <c r="N57" s="7" t="s">
        <v>14</v>
      </c>
    </row>
    <row r="58" spans="2:14">
      <c r="B58" s="12">
        <v>46070</v>
      </c>
      <c r="C58" s="9"/>
      <c r="D58" s="11"/>
      <c r="E58" s="11"/>
      <c r="F58" s="11"/>
      <c r="G58" s="10"/>
      <c r="H58" s="37"/>
      <c r="I58" s="37"/>
      <c r="J58" s="11"/>
      <c r="K58" s="10"/>
      <c r="L58" s="9"/>
      <c r="M58" s="10"/>
      <c r="N58" s="7" t="s">
        <v>13</v>
      </c>
    </row>
    <row r="59" spans="2:14">
      <c r="B59" s="12">
        <v>46071</v>
      </c>
      <c r="C59" s="9"/>
      <c r="D59" s="11"/>
      <c r="E59" s="11"/>
      <c r="F59" s="11"/>
      <c r="G59" s="10"/>
      <c r="H59" s="37"/>
      <c r="I59" s="37"/>
      <c r="J59" s="11"/>
      <c r="K59" s="10"/>
      <c r="L59" s="9"/>
      <c r="M59" s="10"/>
      <c r="N59" s="7" t="s">
        <v>12</v>
      </c>
    </row>
    <row r="60" spans="2:14">
      <c r="B60" s="12">
        <v>46072</v>
      </c>
      <c r="C60" s="9"/>
      <c r="D60" s="11"/>
      <c r="E60" s="11"/>
      <c r="F60" s="11"/>
      <c r="G60" s="10"/>
      <c r="H60" s="37"/>
      <c r="I60" s="37"/>
      <c r="J60" s="11"/>
      <c r="K60" s="10"/>
      <c r="L60" s="9"/>
      <c r="M60" s="10"/>
      <c r="N60" s="7" t="s">
        <v>11</v>
      </c>
    </row>
    <row r="61" spans="2:14">
      <c r="B61" s="12">
        <v>46073</v>
      </c>
      <c r="C61" s="9"/>
      <c r="D61" s="11"/>
      <c r="E61" s="11"/>
      <c r="F61" s="11"/>
      <c r="G61" s="10"/>
      <c r="H61" s="37"/>
      <c r="I61" s="37"/>
      <c r="J61" s="11"/>
      <c r="K61" s="10"/>
      <c r="L61" s="9"/>
      <c r="M61" s="10"/>
      <c r="N61" s="7" t="s">
        <v>10</v>
      </c>
    </row>
    <row r="62" spans="2:14">
      <c r="B62" s="12">
        <v>46074</v>
      </c>
      <c r="C62" s="9"/>
      <c r="D62" s="11"/>
      <c r="E62" s="11"/>
      <c r="F62" s="11"/>
      <c r="G62" s="10"/>
      <c r="H62" s="37"/>
      <c r="I62" s="37"/>
      <c r="J62" s="11"/>
      <c r="K62" s="10"/>
      <c r="L62" s="9"/>
      <c r="M62" s="10"/>
      <c r="N62" s="7" t="s">
        <v>9</v>
      </c>
    </row>
    <row r="63" spans="2:14">
      <c r="B63" s="12">
        <v>46075</v>
      </c>
      <c r="C63" s="9"/>
      <c r="D63" s="11"/>
      <c r="E63" s="11"/>
      <c r="F63" s="11"/>
      <c r="G63" s="10"/>
      <c r="H63" s="37"/>
      <c r="I63" s="37"/>
      <c r="J63" s="11"/>
      <c r="K63" s="10"/>
      <c r="L63" s="9"/>
      <c r="M63" s="10"/>
      <c r="N63" s="7" t="s">
        <v>8</v>
      </c>
    </row>
    <row r="64" spans="2:14">
      <c r="B64" s="12">
        <v>46076</v>
      </c>
      <c r="C64" s="9"/>
      <c r="D64" s="11"/>
      <c r="E64" s="11"/>
      <c r="F64" s="11"/>
      <c r="G64" s="10"/>
      <c r="H64" s="37"/>
      <c r="I64" s="37"/>
      <c r="J64" s="11"/>
      <c r="K64" s="10"/>
      <c r="L64" s="9"/>
      <c r="M64" s="10"/>
      <c r="N64" s="7" t="s">
        <v>7</v>
      </c>
    </row>
    <row r="65" spans="2:14">
      <c r="B65" s="12">
        <v>46077</v>
      </c>
      <c r="C65" s="9"/>
      <c r="D65" s="11"/>
      <c r="E65" s="11"/>
      <c r="F65" s="11"/>
      <c r="G65" s="10"/>
      <c r="H65" s="37"/>
      <c r="I65" s="37"/>
      <c r="J65" s="11"/>
      <c r="K65" s="10"/>
      <c r="L65" s="9"/>
      <c r="M65" s="10"/>
      <c r="N65" s="7" t="s">
        <v>6</v>
      </c>
    </row>
    <row r="66" spans="2:14">
      <c r="B66" s="12">
        <v>46078</v>
      </c>
      <c r="C66" s="9"/>
      <c r="D66" s="11"/>
      <c r="E66" s="11"/>
      <c r="F66" s="11"/>
      <c r="G66" s="10"/>
      <c r="H66" s="37"/>
      <c r="I66" s="37"/>
      <c r="J66" s="11"/>
      <c r="K66" s="10"/>
      <c r="L66" s="9"/>
      <c r="M66" s="10"/>
      <c r="N66" s="7" t="s">
        <v>5</v>
      </c>
    </row>
    <row r="67" spans="2:14">
      <c r="B67" s="12">
        <v>46079</v>
      </c>
      <c r="C67" s="9"/>
      <c r="D67" s="11"/>
      <c r="E67" s="11"/>
      <c r="F67" s="11"/>
      <c r="G67" s="10"/>
      <c r="H67" s="37"/>
      <c r="I67" s="37"/>
      <c r="J67" s="11"/>
      <c r="K67" s="10"/>
      <c r="L67" s="9"/>
      <c r="M67" s="10"/>
      <c r="N67" s="7" t="s">
        <v>4</v>
      </c>
    </row>
    <row r="68" spans="2:14">
      <c r="B68" s="12">
        <v>46080</v>
      </c>
      <c r="C68" s="9"/>
      <c r="D68" s="11"/>
      <c r="E68" s="11"/>
      <c r="F68" s="11"/>
      <c r="G68" s="10"/>
      <c r="H68" s="37"/>
      <c r="I68" s="37"/>
      <c r="J68" s="11"/>
      <c r="K68" s="10"/>
      <c r="L68" s="9"/>
      <c r="M68" s="10"/>
      <c r="N68" s="7" t="s">
        <v>3</v>
      </c>
    </row>
    <row r="69" spans="2:14" ht="17.25" thickBot="1">
      <c r="B69" s="12">
        <v>46081</v>
      </c>
      <c r="C69" s="3"/>
      <c r="D69" s="5"/>
      <c r="E69" s="5"/>
      <c r="F69" s="5"/>
      <c r="G69" s="4"/>
      <c r="H69" s="36"/>
      <c r="I69" s="36"/>
      <c r="J69" s="5"/>
      <c r="K69" s="4"/>
      <c r="L69" s="3"/>
      <c r="M69" s="4"/>
      <c r="N69" s="1" t="s">
        <v>72</v>
      </c>
    </row>
    <row r="72" spans="2:14" ht="17.25" thickBot="1"/>
    <row r="73" spans="2:14" ht="21.75" thickBot="1">
      <c r="B73" s="217"/>
      <c r="C73" s="218" t="s">
        <v>137</v>
      </c>
      <c r="D73" s="219"/>
      <c r="E73" s="219"/>
      <c r="F73" s="219"/>
      <c r="G73" s="220"/>
      <c r="H73" s="221" t="s">
        <v>83</v>
      </c>
      <c r="I73" s="222"/>
      <c r="J73" s="222"/>
      <c r="K73" s="223"/>
      <c r="L73" s="221" t="s">
        <v>82</v>
      </c>
      <c r="M73" s="224"/>
      <c r="N73" s="225" t="s">
        <v>81</v>
      </c>
    </row>
    <row r="74" spans="2:14" ht="20.25" thickBot="1">
      <c r="B74" s="195"/>
      <c r="C74" s="43" t="s">
        <v>75</v>
      </c>
      <c r="D74" s="45" t="s">
        <v>74</v>
      </c>
      <c r="E74" s="45" t="s">
        <v>80</v>
      </c>
      <c r="F74" s="45" t="s">
        <v>79</v>
      </c>
      <c r="G74" s="46" t="s">
        <v>78</v>
      </c>
      <c r="H74" s="45" t="s">
        <v>151</v>
      </c>
      <c r="I74" s="45" t="s">
        <v>77</v>
      </c>
      <c r="J74" s="45" t="s">
        <v>150</v>
      </c>
      <c r="K74" s="44" t="s">
        <v>76</v>
      </c>
      <c r="L74" s="43" t="s">
        <v>75</v>
      </c>
      <c r="M74" s="42" t="s">
        <v>74</v>
      </c>
      <c r="N74" s="226"/>
    </row>
    <row r="75" spans="2:14" ht="21.75" thickBot="1">
      <c r="B75" s="23" t="s">
        <v>70</v>
      </c>
      <c r="C75" s="20">
        <f t="shared" ref="C75:K75" si="2">SUM(C76:C106)</f>
        <v>0</v>
      </c>
      <c r="D75" s="22">
        <f t="shared" si="2"/>
        <v>0</v>
      </c>
      <c r="E75" s="22">
        <f t="shared" si="2"/>
        <v>0</v>
      </c>
      <c r="F75" s="22">
        <f t="shared" si="2"/>
        <v>0</v>
      </c>
      <c r="G75" s="21">
        <f t="shared" si="2"/>
        <v>0</v>
      </c>
      <c r="H75" s="41">
        <f t="shared" si="2"/>
        <v>0</v>
      </c>
      <c r="I75" s="41">
        <f t="shared" si="2"/>
        <v>0</v>
      </c>
      <c r="J75" s="41">
        <f t="shared" si="2"/>
        <v>0</v>
      </c>
      <c r="K75" s="40">
        <f t="shared" si="2"/>
        <v>0</v>
      </c>
      <c r="L75" s="20">
        <f>SUM(L76:L106)</f>
        <v>0</v>
      </c>
      <c r="M75" s="19">
        <f>SUM(M76:M106)</f>
        <v>0</v>
      </c>
      <c r="N75" s="39"/>
    </row>
    <row r="76" spans="2:14">
      <c r="B76" s="12">
        <v>46082</v>
      </c>
      <c r="C76" s="15"/>
      <c r="D76" s="17"/>
      <c r="E76" s="17"/>
      <c r="F76" s="17"/>
      <c r="G76" s="16"/>
      <c r="H76" s="38"/>
      <c r="I76" s="38"/>
      <c r="J76" s="17"/>
      <c r="K76" s="16"/>
      <c r="L76" s="15"/>
      <c r="M76" s="16"/>
      <c r="N76" s="13" t="s">
        <v>29</v>
      </c>
    </row>
    <row r="77" spans="2:14">
      <c r="B77" s="34">
        <v>46083</v>
      </c>
      <c r="C77" s="9"/>
      <c r="D77" s="11"/>
      <c r="E77" s="11"/>
      <c r="F77" s="11"/>
      <c r="G77" s="10"/>
      <c r="H77" s="37"/>
      <c r="I77" s="37"/>
      <c r="J77" s="11"/>
      <c r="K77" s="10"/>
      <c r="L77" s="9"/>
      <c r="M77" s="10"/>
      <c r="N77" s="7" t="s">
        <v>28</v>
      </c>
    </row>
    <row r="78" spans="2:14">
      <c r="B78" s="34">
        <v>46084</v>
      </c>
      <c r="C78" s="9"/>
      <c r="D78" s="11"/>
      <c r="E78" s="11"/>
      <c r="F78" s="11"/>
      <c r="G78" s="10"/>
      <c r="H78" s="37"/>
      <c r="I78" s="37"/>
      <c r="J78" s="11"/>
      <c r="K78" s="10"/>
      <c r="L78" s="9"/>
      <c r="M78" s="10"/>
      <c r="N78" s="7" t="s">
        <v>27</v>
      </c>
    </row>
    <row r="79" spans="2:14">
      <c r="B79" s="34">
        <v>46085</v>
      </c>
      <c r="C79" s="9"/>
      <c r="D79" s="11"/>
      <c r="E79" s="11"/>
      <c r="F79" s="11"/>
      <c r="G79" s="10"/>
      <c r="H79" s="37"/>
      <c r="I79" s="37"/>
      <c r="J79" s="11"/>
      <c r="K79" s="10"/>
      <c r="L79" s="9"/>
      <c r="M79" s="10"/>
      <c r="N79" s="7" t="s">
        <v>26</v>
      </c>
    </row>
    <row r="80" spans="2:14">
      <c r="B80" s="34">
        <v>46086</v>
      </c>
      <c r="C80" s="9"/>
      <c r="D80" s="11"/>
      <c r="E80" s="11"/>
      <c r="F80" s="11"/>
      <c r="G80" s="10"/>
      <c r="H80" s="37"/>
      <c r="I80" s="37"/>
      <c r="J80" s="11"/>
      <c r="K80" s="10"/>
      <c r="L80" s="9"/>
      <c r="M80" s="10"/>
      <c r="N80" s="7" t="s">
        <v>25</v>
      </c>
    </row>
    <row r="81" spans="2:14">
      <c r="B81" s="34">
        <v>46087</v>
      </c>
      <c r="C81" s="9"/>
      <c r="D81" s="11"/>
      <c r="E81" s="11"/>
      <c r="F81" s="11"/>
      <c r="G81" s="10"/>
      <c r="H81" s="37"/>
      <c r="I81" s="37"/>
      <c r="J81" s="11"/>
      <c r="K81" s="10"/>
      <c r="L81" s="9"/>
      <c r="M81" s="10"/>
      <c r="N81" s="7" t="s">
        <v>24</v>
      </c>
    </row>
    <row r="82" spans="2:14">
      <c r="B82" s="34">
        <v>46088</v>
      </c>
      <c r="C82" s="9"/>
      <c r="D82" s="11"/>
      <c r="E82" s="11"/>
      <c r="F82" s="11"/>
      <c r="G82" s="10"/>
      <c r="H82" s="37"/>
      <c r="I82" s="37"/>
      <c r="J82" s="11"/>
      <c r="K82" s="10"/>
      <c r="L82" s="9"/>
      <c r="M82" s="10"/>
      <c r="N82" s="7" t="s">
        <v>23</v>
      </c>
    </row>
    <row r="83" spans="2:14">
      <c r="B83" s="34">
        <v>46089</v>
      </c>
      <c r="C83" s="9"/>
      <c r="D83" s="11"/>
      <c r="E83" s="11"/>
      <c r="F83" s="11"/>
      <c r="G83" s="10"/>
      <c r="H83" s="37"/>
      <c r="I83" s="37"/>
      <c r="J83" s="11"/>
      <c r="K83" s="10"/>
      <c r="L83" s="9"/>
      <c r="M83" s="10"/>
      <c r="N83" s="7" t="s">
        <v>22</v>
      </c>
    </row>
    <row r="84" spans="2:14">
      <c r="B84" s="34">
        <v>46090</v>
      </c>
      <c r="C84" s="9"/>
      <c r="D84" s="11"/>
      <c r="E84" s="11"/>
      <c r="F84" s="11"/>
      <c r="G84" s="10"/>
      <c r="H84" s="37"/>
      <c r="I84" s="37"/>
      <c r="J84" s="11"/>
      <c r="K84" s="10"/>
      <c r="L84" s="9"/>
      <c r="M84" s="10"/>
      <c r="N84" s="7" t="s">
        <v>21</v>
      </c>
    </row>
    <row r="85" spans="2:14">
      <c r="B85" s="34">
        <v>46091</v>
      </c>
      <c r="C85" s="9"/>
      <c r="D85" s="11"/>
      <c r="E85" s="11"/>
      <c r="F85" s="11"/>
      <c r="G85" s="10"/>
      <c r="H85" s="37"/>
      <c r="I85" s="37"/>
      <c r="J85" s="11"/>
      <c r="K85" s="10"/>
      <c r="L85" s="9"/>
      <c r="M85" s="10"/>
      <c r="N85" s="7" t="s">
        <v>20</v>
      </c>
    </row>
    <row r="86" spans="2:14">
      <c r="B86" s="34">
        <v>46092</v>
      </c>
      <c r="C86" s="9"/>
      <c r="D86" s="11"/>
      <c r="E86" s="11"/>
      <c r="F86" s="11"/>
      <c r="G86" s="10"/>
      <c r="H86" s="37"/>
      <c r="I86" s="37"/>
      <c r="J86" s="11"/>
      <c r="K86" s="10"/>
      <c r="L86" s="9"/>
      <c r="M86" s="10"/>
      <c r="N86" s="7" t="s">
        <v>19</v>
      </c>
    </row>
    <row r="87" spans="2:14">
      <c r="B87" s="34">
        <v>46093</v>
      </c>
      <c r="C87" s="9"/>
      <c r="D87" s="11"/>
      <c r="E87" s="11"/>
      <c r="F87" s="11"/>
      <c r="G87" s="10"/>
      <c r="H87" s="37"/>
      <c r="I87" s="37"/>
      <c r="J87" s="11"/>
      <c r="K87" s="10"/>
      <c r="L87" s="9"/>
      <c r="M87" s="10"/>
      <c r="N87" s="7" t="s">
        <v>18</v>
      </c>
    </row>
    <row r="88" spans="2:14">
      <c r="B88" s="34">
        <v>46094</v>
      </c>
      <c r="C88" s="9"/>
      <c r="D88" s="11"/>
      <c r="E88" s="11"/>
      <c r="F88" s="11"/>
      <c r="G88" s="10"/>
      <c r="H88" s="37"/>
      <c r="I88" s="37"/>
      <c r="J88" s="11"/>
      <c r="K88" s="10"/>
      <c r="L88" s="9"/>
      <c r="M88" s="10"/>
      <c r="N88" s="7" t="s">
        <v>17</v>
      </c>
    </row>
    <row r="89" spans="2:14">
      <c r="B89" s="34">
        <v>46095</v>
      </c>
      <c r="C89" s="9"/>
      <c r="D89" s="11"/>
      <c r="E89" s="11"/>
      <c r="F89" s="11"/>
      <c r="G89" s="10"/>
      <c r="H89" s="37"/>
      <c r="I89" s="37"/>
      <c r="J89" s="11"/>
      <c r="K89" s="10"/>
      <c r="L89" s="9"/>
      <c r="M89" s="10"/>
      <c r="N89" s="7" t="s">
        <v>16</v>
      </c>
    </row>
    <row r="90" spans="2:14">
      <c r="B90" s="34">
        <v>46096</v>
      </c>
      <c r="C90" s="9"/>
      <c r="D90" s="11"/>
      <c r="E90" s="11"/>
      <c r="F90" s="11"/>
      <c r="G90" s="10"/>
      <c r="H90" s="37"/>
      <c r="I90" s="37"/>
      <c r="J90" s="11"/>
      <c r="K90" s="10"/>
      <c r="L90" s="9"/>
      <c r="M90" s="10"/>
      <c r="N90" s="7" t="s">
        <v>15</v>
      </c>
    </row>
    <row r="91" spans="2:14">
      <c r="B91" s="34">
        <v>46097</v>
      </c>
      <c r="C91" s="9"/>
      <c r="D91" s="11"/>
      <c r="E91" s="11"/>
      <c r="F91" s="11"/>
      <c r="G91" s="10"/>
      <c r="H91" s="37"/>
      <c r="I91" s="37"/>
      <c r="J91" s="11"/>
      <c r="K91" s="10"/>
      <c r="L91" s="9"/>
      <c r="M91" s="10"/>
      <c r="N91" s="7" t="s">
        <v>14</v>
      </c>
    </row>
    <row r="92" spans="2:14">
      <c r="B92" s="34">
        <v>46098</v>
      </c>
      <c r="C92" s="9"/>
      <c r="D92" s="11"/>
      <c r="E92" s="11"/>
      <c r="F92" s="11"/>
      <c r="G92" s="10"/>
      <c r="H92" s="37"/>
      <c r="I92" s="37"/>
      <c r="J92" s="11"/>
      <c r="K92" s="10"/>
      <c r="L92" s="9"/>
      <c r="M92" s="10"/>
      <c r="N92" s="7" t="s">
        <v>13</v>
      </c>
    </row>
    <row r="93" spans="2:14">
      <c r="B93" s="34">
        <v>46099</v>
      </c>
      <c r="C93" s="9"/>
      <c r="D93" s="11"/>
      <c r="E93" s="11"/>
      <c r="F93" s="11"/>
      <c r="G93" s="10"/>
      <c r="H93" s="37"/>
      <c r="I93" s="37"/>
      <c r="J93" s="11"/>
      <c r="K93" s="10"/>
      <c r="L93" s="9"/>
      <c r="M93" s="10"/>
      <c r="N93" s="7" t="s">
        <v>12</v>
      </c>
    </row>
    <row r="94" spans="2:14">
      <c r="B94" s="34">
        <v>46100</v>
      </c>
      <c r="C94" s="9"/>
      <c r="D94" s="11"/>
      <c r="E94" s="11"/>
      <c r="F94" s="11"/>
      <c r="G94" s="10"/>
      <c r="H94" s="37"/>
      <c r="I94" s="37"/>
      <c r="J94" s="11"/>
      <c r="K94" s="10"/>
      <c r="L94" s="9"/>
      <c r="M94" s="10"/>
      <c r="N94" s="7" t="s">
        <v>11</v>
      </c>
    </row>
    <row r="95" spans="2:14">
      <c r="B95" s="34">
        <v>46101</v>
      </c>
      <c r="C95" s="9"/>
      <c r="D95" s="11"/>
      <c r="E95" s="11"/>
      <c r="F95" s="11"/>
      <c r="G95" s="10"/>
      <c r="H95" s="37"/>
      <c r="I95" s="37"/>
      <c r="J95" s="11"/>
      <c r="K95" s="10"/>
      <c r="L95" s="9"/>
      <c r="M95" s="10"/>
      <c r="N95" s="7" t="s">
        <v>10</v>
      </c>
    </row>
    <row r="96" spans="2:14">
      <c r="B96" s="34">
        <v>46102</v>
      </c>
      <c r="C96" s="9"/>
      <c r="D96" s="11"/>
      <c r="E96" s="11"/>
      <c r="F96" s="11"/>
      <c r="G96" s="10"/>
      <c r="H96" s="37"/>
      <c r="I96" s="37"/>
      <c r="J96" s="11"/>
      <c r="K96" s="10"/>
      <c r="L96" s="9"/>
      <c r="M96" s="10"/>
      <c r="N96" s="7" t="s">
        <v>9</v>
      </c>
    </row>
    <row r="97" spans="2:14">
      <c r="B97" s="34">
        <v>46103</v>
      </c>
      <c r="C97" s="9"/>
      <c r="D97" s="11"/>
      <c r="E97" s="11"/>
      <c r="F97" s="11"/>
      <c r="G97" s="10"/>
      <c r="H97" s="37"/>
      <c r="I97" s="37"/>
      <c r="J97" s="11"/>
      <c r="K97" s="10"/>
      <c r="L97" s="9"/>
      <c r="M97" s="10"/>
      <c r="N97" s="7" t="s">
        <v>8</v>
      </c>
    </row>
    <row r="98" spans="2:14">
      <c r="B98" s="34">
        <v>46104</v>
      </c>
      <c r="C98" s="9"/>
      <c r="D98" s="11"/>
      <c r="E98" s="11"/>
      <c r="F98" s="11"/>
      <c r="G98" s="10"/>
      <c r="H98" s="37"/>
      <c r="I98" s="37"/>
      <c r="J98" s="11"/>
      <c r="K98" s="10"/>
      <c r="L98" s="9"/>
      <c r="M98" s="10"/>
      <c r="N98" s="7" t="s">
        <v>7</v>
      </c>
    </row>
    <row r="99" spans="2:14">
      <c r="B99" s="34">
        <v>46105</v>
      </c>
      <c r="C99" s="9"/>
      <c r="D99" s="11"/>
      <c r="E99" s="11"/>
      <c r="F99" s="11"/>
      <c r="G99" s="10"/>
      <c r="H99" s="37"/>
      <c r="I99" s="37"/>
      <c r="J99" s="11"/>
      <c r="K99" s="10"/>
      <c r="L99" s="9"/>
      <c r="M99" s="10"/>
      <c r="N99" s="7" t="s">
        <v>6</v>
      </c>
    </row>
    <row r="100" spans="2:14">
      <c r="B100" s="34">
        <v>46106</v>
      </c>
      <c r="C100" s="9"/>
      <c r="D100" s="11"/>
      <c r="E100" s="11"/>
      <c r="F100" s="11"/>
      <c r="G100" s="10"/>
      <c r="H100" s="37"/>
      <c r="I100" s="37"/>
      <c r="J100" s="11"/>
      <c r="K100" s="10"/>
      <c r="L100" s="9"/>
      <c r="M100" s="10"/>
      <c r="N100" s="7" t="s">
        <v>5</v>
      </c>
    </row>
    <row r="101" spans="2:14">
      <c r="B101" s="34">
        <v>46107</v>
      </c>
      <c r="C101" s="9"/>
      <c r="D101" s="11"/>
      <c r="E101" s="11"/>
      <c r="F101" s="11"/>
      <c r="G101" s="10"/>
      <c r="H101" s="37"/>
      <c r="I101" s="37"/>
      <c r="J101" s="11"/>
      <c r="K101" s="10"/>
      <c r="L101" s="9"/>
      <c r="M101" s="10"/>
      <c r="N101" s="7" t="s">
        <v>4</v>
      </c>
    </row>
    <row r="102" spans="2:14">
      <c r="B102" s="34">
        <v>46108</v>
      </c>
      <c r="C102" s="9"/>
      <c r="D102" s="11"/>
      <c r="E102" s="11"/>
      <c r="F102" s="11"/>
      <c r="G102" s="10"/>
      <c r="H102" s="37"/>
      <c r="I102" s="37"/>
      <c r="J102" s="11"/>
      <c r="K102" s="10"/>
      <c r="L102" s="9"/>
      <c r="M102" s="10"/>
      <c r="N102" s="7" t="s">
        <v>3</v>
      </c>
    </row>
    <row r="103" spans="2:14">
      <c r="B103" s="34">
        <v>46109</v>
      </c>
      <c r="C103" s="9"/>
      <c r="D103" s="11"/>
      <c r="E103" s="11"/>
      <c r="F103" s="11"/>
      <c r="G103" s="10"/>
      <c r="H103" s="37"/>
      <c r="I103" s="37"/>
      <c r="J103" s="11"/>
      <c r="K103" s="10"/>
      <c r="L103" s="9"/>
      <c r="M103" s="10"/>
      <c r="N103" s="7" t="s">
        <v>2</v>
      </c>
    </row>
    <row r="104" spans="2:14">
      <c r="B104" s="34">
        <v>46110</v>
      </c>
      <c r="C104" s="9"/>
      <c r="D104" s="11"/>
      <c r="E104" s="11"/>
      <c r="F104" s="11"/>
      <c r="G104" s="10"/>
      <c r="H104" s="37"/>
      <c r="I104" s="37"/>
      <c r="J104" s="11"/>
      <c r="K104" s="10"/>
      <c r="L104" s="9"/>
      <c r="M104" s="10"/>
      <c r="N104" s="7" t="s">
        <v>1</v>
      </c>
    </row>
    <row r="105" spans="2:14">
      <c r="B105" s="34">
        <v>46111</v>
      </c>
      <c r="C105" s="9"/>
      <c r="D105" s="11"/>
      <c r="E105" s="11"/>
      <c r="F105" s="11"/>
      <c r="G105" s="10"/>
      <c r="H105" s="37"/>
      <c r="I105" s="37"/>
      <c r="J105" s="11"/>
      <c r="K105" s="10"/>
      <c r="L105" s="9"/>
      <c r="M105" s="10"/>
      <c r="N105" s="7" t="s">
        <v>59</v>
      </c>
    </row>
    <row r="106" spans="2:14" ht="17.25" thickBot="1">
      <c r="B106" s="33">
        <v>46112</v>
      </c>
      <c r="C106" s="3"/>
      <c r="D106" s="5"/>
      <c r="E106" s="5"/>
      <c r="F106" s="5"/>
      <c r="G106" s="4"/>
      <c r="H106" s="36"/>
      <c r="I106" s="36"/>
      <c r="J106" s="5"/>
      <c r="K106" s="4"/>
      <c r="L106" s="3"/>
      <c r="M106" s="4"/>
      <c r="N106" s="1" t="s">
        <v>72</v>
      </c>
    </row>
    <row r="109" spans="2:14" ht="17.25" thickBot="1"/>
    <row r="110" spans="2:14" ht="21.75" thickBot="1">
      <c r="B110" s="217"/>
      <c r="C110" s="218" t="s">
        <v>137</v>
      </c>
      <c r="D110" s="219"/>
      <c r="E110" s="219"/>
      <c r="F110" s="219"/>
      <c r="G110" s="220"/>
      <c r="H110" s="221" t="s">
        <v>83</v>
      </c>
      <c r="I110" s="222"/>
      <c r="J110" s="222"/>
      <c r="K110" s="223"/>
      <c r="L110" s="221" t="s">
        <v>82</v>
      </c>
      <c r="M110" s="224"/>
      <c r="N110" s="225" t="s">
        <v>81</v>
      </c>
    </row>
    <row r="111" spans="2:14" ht="20.25" thickBot="1">
      <c r="B111" s="195"/>
      <c r="C111" s="43" t="s">
        <v>75</v>
      </c>
      <c r="D111" s="45" t="s">
        <v>74</v>
      </c>
      <c r="E111" s="45" t="s">
        <v>80</v>
      </c>
      <c r="F111" s="45" t="s">
        <v>79</v>
      </c>
      <c r="G111" s="46" t="s">
        <v>78</v>
      </c>
      <c r="H111" s="45" t="s">
        <v>151</v>
      </c>
      <c r="I111" s="45" t="s">
        <v>77</v>
      </c>
      <c r="J111" s="45" t="s">
        <v>150</v>
      </c>
      <c r="K111" s="44" t="s">
        <v>76</v>
      </c>
      <c r="L111" s="43" t="s">
        <v>75</v>
      </c>
      <c r="M111" s="42" t="s">
        <v>74</v>
      </c>
      <c r="N111" s="226"/>
    </row>
    <row r="112" spans="2:14" ht="21.75" thickBot="1">
      <c r="B112" s="23" t="s">
        <v>69</v>
      </c>
      <c r="C112" s="20">
        <f t="shared" ref="C112:M112" si="3">SUM(C113:C142)</f>
        <v>0</v>
      </c>
      <c r="D112" s="22">
        <f t="shared" si="3"/>
        <v>0</v>
      </c>
      <c r="E112" s="22">
        <f t="shared" si="3"/>
        <v>0</v>
      </c>
      <c r="F112" s="22">
        <f t="shared" si="3"/>
        <v>0</v>
      </c>
      <c r="G112" s="21">
        <f t="shared" si="3"/>
        <v>0</v>
      </c>
      <c r="H112" s="41">
        <f>SUM(H113:H122)</f>
        <v>0</v>
      </c>
      <c r="I112" s="41">
        <f t="shared" ref="I112:K112" si="4">SUM(I113:I122)</f>
        <v>0</v>
      </c>
      <c r="J112" s="41">
        <f t="shared" si="4"/>
        <v>0</v>
      </c>
      <c r="K112" s="41">
        <f t="shared" si="4"/>
        <v>0</v>
      </c>
      <c r="L112" s="20">
        <f t="shared" si="3"/>
        <v>0</v>
      </c>
      <c r="M112" s="19">
        <f t="shared" si="3"/>
        <v>0</v>
      </c>
      <c r="N112" s="39"/>
    </row>
    <row r="113" spans="2:14">
      <c r="B113" s="12">
        <v>46113</v>
      </c>
      <c r="C113" s="15"/>
      <c r="D113" s="17"/>
      <c r="E113" s="17"/>
      <c r="F113" s="17"/>
      <c r="G113" s="16"/>
      <c r="H113" s="38"/>
      <c r="I113" s="38"/>
      <c r="J113" s="17"/>
      <c r="K113" s="16"/>
      <c r="L113" s="15"/>
      <c r="M113" s="16"/>
      <c r="N113" s="13" t="s">
        <v>29</v>
      </c>
    </row>
    <row r="114" spans="2:14">
      <c r="B114" s="12">
        <v>46114</v>
      </c>
      <c r="C114" s="9"/>
      <c r="D114" s="11"/>
      <c r="E114" s="11"/>
      <c r="F114" s="11"/>
      <c r="G114" s="10"/>
      <c r="H114" s="37"/>
      <c r="I114" s="37"/>
      <c r="J114" s="11"/>
      <c r="K114" s="10"/>
      <c r="L114" s="9"/>
      <c r="M114" s="10"/>
      <c r="N114" s="7" t="s">
        <v>28</v>
      </c>
    </row>
    <row r="115" spans="2:14">
      <c r="B115" s="12">
        <v>46115</v>
      </c>
      <c r="C115" s="9"/>
      <c r="D115" s="11"/>
      <c r="E115" s="11"/>
      <c r="F115" s="11"/>
      <c r="G115" s="10"/>
      <c r="H115" s="37"/>
      <c r="I115" s="37"/>
      <c r="J115" s="11"/>
      <c r="K115" s="10"/>
      <c r="L115" s="9"/>
      <c r="M115" s="10"/>
      <c r="N115" s="7" t="s">
        <v>27</v>
      </c>
    </row>
    <row r="116" spans="2:14">
      <c r="B116" s="12">
        <v>46116</v>
      </c>
      <c r="C116" s="9"/>
      <c r="D116" s="11"/>
      <c r="E116" s="11"/>
      <c r="F116" s="11"/>
      <c r="G116" s="10"/>
      <c r="H116" s="37"/>
      <c r="I116" s="37"/>
      <c r="J116" s="11"/>
      <c r="K116" s="10"/>
      <c r="L116" s="9"/>
      <c r="M116" s="10"/>
      <c r="N116" s="7" t="s">
        <v>26</v>
      </c>
    </row>
    <row r="117" spans="2:14">
      <c r="B117" s="12">
        <v>46117</v>
      </c>
      <c r="C117" s="9"/>
      <c r="D117" s="11"/>
      <c r="E117" s="11"/>
      <c r="F117" s="11"/>
      <c r="G117" s="10"/>
      <c r="H117" s="37"/>
      <c r="I117" s="37"/>
      <c r="J117" s="11"/>
      <c r="K117" s="10"/>
      <c r="L117" s="9"/>
      <c r="M117" s="10"/>
      <c r="N117" s="7" t="s">
        <v>25</v>
      </c>
    </row>
    <row r="118" spans="2:14">
      <c r="B118" s="12">
        <v>46118</v>
      </c>
      <c r="C118" s="9"/>
      <c r="D118" s="11"/>
      <c r="E118" s="11"/>
      <c r="F118" s="11"/>
      <c r="G118" s="10"/>
      <c r="H118" s="37"/>
      <c r="I118" s="37"/>
      <c r="J118" s="11"/>
      <c r="K118" s="10"/>
      <c r="L118" s="9"/>
      <c r="M118" s="10"/>
      <c r="N118" s="7" t="s">
        <v>24</v>
      </c>
    </row>
    <row r="119" spans="2:14">
      <c r="B119" s="12">
        <v>46119</v>
      </c>
      <c r="C119" s="9"/>
      <c r="D119" s="11"/>
      <c r="E119" s="11"/>
      <c r="F119" s="11"/>
      <c r="G119" s="10"/>
      <c r="H119" s="37"/>
      <c r="I119" s="37"/>
      <c r="J119" s="11"/>
      <c r="K119" s="10"/>
      <c r="L119" s="9"/>
      <c r="M119" s="10"/>
      <c r="N119" s="7" t="s">
        <v>23</v>
      </c>
    </row>
    <row r="120" spans="2:14">
      <c r="B120" s="12">
        <v>46120</v>
      </c>
      <c r="C120" s="9"/>
      <c r="D120" s="11"/>
      <c r="E120" s="11"/>
      <c r="F120" s="11"/>
      <c r="G120" s="10"/>
      <c r="H120" s="37"/>
      <c r="I120" s="37"/>
      <c r="J120" s="11"/>
      <c r="K120" s="10"/>
      <c r="L120" s="9"/>
      <c r="M120" s="10"/>
      <c r="N120" s="7" t="s">
        <v>22</v>
      </c>
    </row>
    <row r="121" spans="2:14">
      <c r="B121" s="12">
        <v>46121</v>
      </c>
      <c r="C121" s="9"/>
      <c r="D121" s="11"/>
      <c r="E121" s="11"/>
      <c r="F121" s="11"/>
      <c r="G121" s="10"/>
      <c r="H121" s="37"/>
      <c r="I121" s="37"/>
      <c r="J121" s="11"/>
      <c r="K121" s="10"/>
      <c r="L121" s="9"/>
      <c r="M121" s="10"/>
      <c r="N121" s="7" t="s">
        <v>21</v>
      </c>
    </row>
    <row r="122" spans="2:14">
      <c r="B122" s="12">
        <v>46122</v>
      </c>
      <c r="C122" s="9"/>
      <c r="D122" s="11"/>
      <c r="E122" s="11"/>
      <c r="F122" s="11"/>
      <c r="G122" s="10"/>
      <c r="H122" s="37"/>
      <c r="I122" s="37"/>
      <c r="J122" s="11"/>
      <c r="K122" s="10"/>
      <c r="L122" s="9"/>
      <c r="M122" s="10"/>
      <c r="N122" s="7" t="s">
        <v>20</v>
      </c>
    </row>
    <row r="123" spans="2:14">
      <c r="B123" s="12">
        <v>46123</v>
      </c>
      <c r="C123" s="9"/>
      <c r="D123" s="11"/>
      <c r="E123" s="11"/>
      <c r="F123" s="11"/>
      <c r="G123" s="10"/>
      <c r="H123" s="37"/>
      <c r="I123" s="37"/>
      <c r="J123" s="11"/>
      <c r="K123" s="10"/>
      <c r="L123" s="9"/>
      <c r="M123" s="10"/>
      <c r="N123" s="7" t="s">
        <v>19</v>
      </c>
    </row>
    <row r="124" spans="2:14">
      <c r="B124" s="12">
        <v>46124</v>
      </c>
      <c r="C124" s="9"/>
      <c r="D124" s="11"/>
      <c r="E124" s="11"/>
      <c r="F124" s="11"/>
      <c r="G124" s="10"/>
      <c r="H124" s="37"/>
      <c r="I124" s="37"/>
      <c r="J124" s="11"/>
      <c r="K124" s="10"/>
      <c r="L124" s="9"/>
      <c r="M124" s="10"/>
      <c r="N124" s="7" t="s">
        <v>18</v>
      </c>
    </row>
    <row r="125" spans="2:14">
      <c r="B125" s="12">
        <v>46125</v>
      </c>
      <c r="C125" s="9"/>
      <c r="D125" s="11"/>
      <c r="E125" s="11"/>
      <c r="F125" s="11"/>
      <c r="G125" s="10"/>
      <c r="H125" s="37"/>
      <c r="I125" s="37"/>
      <c r="J125" s="11"/>
      <c r="K125" s="10"/>
      <c r="L125" s="9"/>
      <c r="M125" s="10"/>
      <c r="N125" s="7" t="s">
        <v>17</v>
      </c>
    </row>
    <row r="126" spans="2:14">
      <c r="B126" s="12">
        <v>46126</v>
      </c>
      <c r="C126" s="9"/>
      <c r="D126" s="11"/>
      <c r="E126" s="11"/>
      <c r="F126" s="11"/>
      <c r="G126" s="10"/>
      <c r="H126" s="37"/>
      <c r="I126" s="37"/>
      <c r="J126" s="11"/>
      <c r="K126" s="10"/>
      <c r="L126" s="9"/>
      <c r="M126" s="10"/>
      <c r="N126" s="7" t="s">
        <v>16</v>
      </c>
    </row>
    <row r="127" spans="2:14">
      <c r="B127" s="12">
        <v>46127</v>
      </c>
      <c r="C127" s="9"/>
      <c r="D127" s="11"/>
      <c r="E127" s="11"/>
      <c r="F127" s="11"/>
      <c r="G127" s="10"/>
      <c r="H127" s="37"/>
      <c r="I127" s="37"/>
      <c r="J127" s="11"/>
      <c r="K127" s="10"/>
      <c r="L127" s="9"/>
      <c r="M127" s="10"/>
      <c r="N127" s="7" t="s">
        <v>15</v>
      </c>
    </row>
    <row r="128" spans="2:14">
      <c r="B128" s="12">
        <v>46128</v>
      </c>
      <c r="C128" s="9"/>
      <c r="D128" s="11"/>
      <c r="E128" s="11"/>
      <c r="F128" s="11"/>
      <c r="G128" s="10"/>
      <c r="H128" s="37"/>
      <c r="I128" s="37"/>
      <c r="J128" s="11"/>
      <c r="K128" s="10"/>
      <c r="L128" s="9"/>
      <c r="M128" s="10"/>
      <c r="N128" s="7" t="s">
        <v>14</v>
      </c>
    </row>
    <row r="129" spans="2:14">
      <c r="B129" s="12">
        <v>46129</v>
      </c>
      <c r="C129" s="9"/>
      <c r="D129" s="11"/>
      <c r="E129" s="11"/>
      <c r="F129" s="11"/>
      <c r="G129" s="10"/>
      <c r="H129" s="37"/>
      <c r="I129" s="37"/>
      <c r="J129" s="11"/>
      <c r="K129" s="10"/>
      <c r="L129" s="9"/>
      <c r="M129" s="10"/>
      <c r="N129" s="7" t="s">
        <v>13</v>
      </c>
    </row>
    <row r="130" spans="2:14">
      <c r="B130" s="12">
        <v>46130</v>
      </c>
      <c r="C130" s="9"/>
      <c r="D130" s="11"/>
      <c r="E130" s="11"/>
      <c r="F130" s="11"/>
      <c r="G130" s="10"/>
      <c r="H130" s="37"/>
      <c r="I130" s="37"/>
      <c r="J130" s="11"/>
      <c r="K130" s="10"/>
      <c r="L130" s="9"/>
      <c r="M130" s="10"/>
      <c r="N130" s="7" t="s">
        <v>12</v>
      </c>
    </row>
    <row r="131" spans="2:14">
      <c r="B131" s="12">
        <v>46131</v>
      </c>
      <c r="C131" s="15"/>
      <c r="D131" s="17"/>
      <c r="E131" s="17"/>
      <c r="F131" s="17"/>
      <c r="G131" s="16"/>
      <c r="H131" s="38"/>
      <c r="I131" s="38"/>
      <c r="J131" s="17"/>
      <c r="K131" s="16"/>
      <c r="L131" s="15"/>
      <c r="M131" s="16"/>
      <c r="N131" s="7" t="s">
        <v>11</v>
      </c>
    </row>
    <row r="132" spans="2:14">
      <c r="B132" s="12">
        <v>46132</v>
      </c>
      <c r="C132" s="15"/>
      <c r="D132" s="17"/>
      <c r="E132" s="17"/>
      <c r="F132" s="17"/>
      <c r="G132" s="16"/>
      <c r="H132" s="38"/>
      <c r="I132" s="38"/>
      <c r="J132" s="17"/>
      <c r="K132" s="16"/>
      <c r="L132" s="15"/>
      <c r="M132" s="16"/>
      <c r="N132" s="7" t="s">
        <v>10</v>
      </c>
    </row>
    <row r="133" spans="2:14">
      <c r="B133" s="12">
        <v>46133</v>
      </c>
      <c r="C133" s="9"/>
      <c r="D133" s="11"/>
      <c r="E133" s="11"/>
      <c r="F133" s="11"/>
      <c r="G133" s="10"/>
      <c r="H133" s="37"/>
      <c r="I133" s="37"/>
      <c r="J133" s="11"/>
      <c r="K133" s="10"/>
      <c r="L133" s="9"/>
      <c r="M133" s="10"/>
      <c r="N133" s="7" t="s">
        <v>9</v>
      </c>
    </row>
    <row r="134" spans="2:14">
      <c r="B134" s="12">
        <v>46134</v>
      </c>
      <c r="C134" s="9"/>
      <c r="D134" s="11"/>
      <c r="E134" s="11"/>
      <c r="F134" s="11"/>
      <c r="G134" s="10"/>
      <c r="H134" s="37"/>
      <c r="I134" s="37"/>
      <c r="J134" s="11"/>
      <c r="K134" s="10"/>
      <c r="L134" s="9"/>
      <c r="M134" s="10"/>
      <c r="N134" s="7" t="s">
        <v>8</v>
      </c>
    </row>
    <row r="135" spans="2:14">
      <c r="B135" s="12">
        <v>46135</v>
      </c>
      <c r="C135" s="9"/>
      <c r="D135" s="11"/>
      <c r="E135" s="11"/>
      <c r="F135" s="11"/>
      <c r="G135" s="10"/>
      <c r="H135" s="37"/>
      <c r="I135" s="37"/>
      <c r="J135" s="11"/>
      <c r="K135" s="10"/>
      <c r="L135" s="9"/>
      <c r="M135" s="10"/>
      <c r="N135" s="7" t="s">
        <v>7</v>
      </c>
    </row>
    <row r="136" spans="2:14">
      <c r="B136" s="12">
        <v>46136</v>
      </c>
      <c r="C136" s="9"/>
      <c r="D136" s="11"/>
      <c r="E136" s="11"/>
      <c r="F136" s="11"/>
      <c r="G136" s="10"/>
      <c r="H136" s="37"/>
      <c r="I136" s="37"/>
      <c r="J136" s="11"/>
      <c r="K136" s="10"/>
      <c r="L136" s="9"/>
      <c r="M136" s="10"/>
      <c r="N136" s="7" t="s">
        <v>6</v>
      </c>
    </row>
    <row r="137" spans="2:14">
      <c r="B137" s="12">
        <v>46137</v>
      </c>
      <c r="C137" s="9"/>
      <c r="D137" s="11"/>
      <c r="E137" s="11"/>
      <c r="F137" s="11"/>
      <c r="G137" s="10"/>
      <c r="H137" s="37"/>
      <c r="I137" s="37"/>
      <c r="J137" s="11"/>
      <c r="K137" s="10"/>
      <c r="L137" s="9"/>
      <c r="M137" s="10"/>
      <c r="N137" s="7" t="s">
        <v>5</v>
      </c>
    </row>
    <row r="138" spans="2:14">
      <c r="B138" s="12">
        <v>46138</v>
      </c>
      <c r="C138" s="9"/>
      <c r="D138" s="11"/>
      <c r="E138" s="11"/>
      <c r="F138" s="11"/>
      <c r="G138" s="10"/>
      <c r="H138" s="37"/>
      <c r="I138" s="37"/>
      <c r="J138" s="11"/>
      <c r="K138" s="10"/>
      <c r="L138" s="9"/>
      <c r="M138" s="10"/>
      <c r="N138" s="7" t="s">
        <v>4</v>
      </c>
    </row>
    <row r="139" spans="2:14">
      <c r="B139" s="12">
        <v>46139</v>
      </c>
      <c r="C139" s="9"/>
      <c r="D139" s="11"/>
      <c r="E139" s="11"/>
      <c r="F139" s="11"/>
      <c r="G139" s="10"/>
      <c r="H139" s="37"/>
      <c r="I139" s="37"/>
      <c r="J139" s="11"/>
      <c r="K139" s="10"/>
      <c r="L139" s="9"/>
      <c r="M139" s="10"/>
      <c r="N139" s="7" t="s">
        <v>3</v>
      </c>
    </row>
    <row r="140" spans="2:14">
      <c r="B140" s="12">
        <v>46140</v>
      </c>
      <c r="C140" s="9"/>
      <c r="D140" s="11"/>
      <c r="E140" s="11"/>
      <c r="F140" s="11"/>
      <c r="G140" s="10"/>
      <c r="H140" s="37"/>
      <c r="I140" s="37"/>
      <c r="J140" s="11"/>
      <c r="K140" s="10"/>
      <c r="L140" s="9"/>
      <c r="M140" s="10"/>
      <c r="N140" s="7" t="s">
        <v>2</v>
      </c>
    </row>
    <row r="141" spans="2:14">
      <c r="B141" s="12">
        <v>46141</v>
      </c>
      <c r="C141" s="9"/>
      <c r="D141" s="11"/>
      <c r="E141" s="11"/>
      <c r="F141" s="11"/>
      <c r="G141" s="10"/>
      <c r="H141" s="37"/>
      <c r="I141" s="37"/>
      <c r="J141" s="11"/>
      <c r="K141" s="10"/>
      <c r="L141" s="9"/>
      <c r="M141" s="10"/>
      <c r="N141" s="7" t="s">
        <v>1</v>
      </c>
    </row>
    <row r="142" spans="2:14" ht="17.25" thickBot="1">
      <c r="B142" s="6">
        <v>46142</v>
      </c>
      <c r="C142" s="3"/>
      <c r="D142" s="5"/>
      <c r="E142" s="5"/>
      <c r="F142" s="5"/>
      <c r="G142" s="4"/>
      <c r="H142" s="36"/>
      <c r="I142" s="36"/>
      <c r="J142" s="5"/>
      <c r="K142" s="4"/>
      <c r="L142" s="3"/>
      <c r="M142" s="4"/>
      <c r="N142" s="1" t="s">
        <v>59</v>
      </c>
    </row>
    <row r="145" spans="2:14" ht="17.25" thickBot="1"/>
    <row r="146" spans="2:14" ht="21.75" thickBot="1">
      <c r="B146" s="217"/>
      <c r="C146" s="218" t="s">
        <v>137</v>
      </c>
      <c r="D146" s="219"/>
      <c r="E146" s="219"/>
      <c r="F146" s="219"/>
      <c r="G146" s="220"/>
      <c r="H146" s="221" t="s">
        <v>83</v>
      </c>
      <c r="I146" s="222"/>
      <c r="J146" s="222"/>
      <c r="K146" s="223"/>
      <c r="L146" s="221" t="s">
        <v>82</v>
      </c>
      <c r="M146" s="224"/>
      <c r="N146" s="225" t="s">
        <v>81</v>
      </c>
    </row>
    <row r="147" spans="2:14" ht="20.25" thickBot="1">
      <c r="B147" s="195"/>
      <c r="C147" s="43" t="s">
        <v>75</v>
      </c>
      <c r="D147" s="45" t="s">
        <v>74</v>
      </c>
      <c r="E147" s="45" t="s">
        <v>80</v>
      </c>
      <c r="F147" s="45" t="s">
        <v>79</v>
      </c>
      <c r="G147" s="46" t="s">
        <v>78</v>
      </c>
      <c r="H147" s="45" t="s">
        <v>151</v>
      </c>
      <c r="I147" s="45" t="s">
        <v>77</v>
      </c>
      <c r="J147" s="45" t="s">
        <v>150</v>
      </c>
      <c r="K147" s="44" t="s">
        <v>76</v>
      </c>
      <c r="L147" s="43" t="s">
        <v>75</v>
      </c>
      <c r="M147" s="42" t="s">
        <v>74</v>
      </c>
      <c r="N147" s="226"/>
    </row>
    <row r="148" spans="2:14" ht="21.75" thickBot="1">
      <c r="B148" s="23" t="s">
        <v>60</v>
      </c>
      <c r="C148" s="135">
        <f t="shared" ref="C148:M148" si="5">SUM(C149:C178)</f>
        <v>0</v>
      </c>
      <c r="D148" s="136">
        <f t="shared" si="5"/>
        <v>0</v>
      </c>
      <c r="E148" s="136">
        <f t="shared" si="5"/>
        <v>0</v>
      </c>
      <c r="F148" s="136">
        <f t="shared" si="5"/>
        <v>0</v>
      </c>
      <c r="G148" s="137">
        <f t="shared" si="5"/>
        <v>0</v>
      </c>
      <c r="H148" s="138">
        <f t="shared" si="5"/>
        <v>0</v>
      </c>
      <c r="I148" s="138">
        <f t="shared" si="5"/>
        <v>0</v>
      </c>
      <c r="J148" s="138">
        <f t="shared" si="5"/>
        <v>0</v>
      </c>
      <c r="K148" s="139">
        <f t="shared" si="5"/>
        <v>0</v>
      </c>
      <c r="L148" s="135">
        <f t="shared" si="5"/>
        <v>0</v>
      </c>
      <c r="M148" s="140">
        <f t="shared" si="5"/>
        <v>0</v>
      </c>
      <c r="N148" s="141"/>
    </row>
    <row r="149" spans="2:14">
      <c r="B149" s="149">
        <v>46143</v>
      </c>
      <c r="C149" s="142"/>
      <c r="D149" s="143"/>
      <c r="E149" s="143"/>
      <c r="F149" s="143"/>
      <c r="G149" s="144"/>
      <c r="H149" s="143"/>
      <c r="I149" s="143"/>
      <c r="J149" s="143"/>
      <c r="K149" s="144"/>
      <c r="L149" s="142"/>
      <c r="M149" s="148"/>
      <c r="N149" s="145" t="s">
        <v>29</v>
      </c>
    </row>
    <row r="150" spans="2:14">
      <c r="B150" s="134">
        <v>46144</v>
      </c>
      <c r="C150" s="9"/>
      <c r="D150" s="11"/>
      <c r="E150" s="11"/>
      <c r="F150" s="11"/>
      <c r="G150" s="10"/>
      <c r="H150" s="11"/>
      <c r="I150" s="11"/>
      <c r="J150" s="11"/>
      <c r="K150" s="10"/>
      <c r="L150" s="9"/>
      <c r="M150" s="8"/>
      <c r="N150" s="146" t="s">
        <v>28</v>
      </c>
    </row>
    <row r="151" spans="2:14">
      <c r="B151" s="134">
        <v>46145</v>
      </c>
      <c r="C151" s="9"/>
      <c r="D151" s="11"/>
      <c r="E151" s="11"/>
      <c r="F151" s="11"/>
      <c r="G151" s="10"/>
      <c r="H151" s="11"/>
      <c r="I151" s="11"/>
      <c r="J151" s="11"/>
      <c r="K151" s="10"/>
      <c r="L151" s="9"/>
      <c r="M151" s="8"/>
      <c r="N151" s="146" t="s">
        <v>27</v>
      </c>
    </row>
    <row r="152" spans="2:14">
      <c r="B152" s="134">
        <v>46146</v>
      </c>
      <c r="C152" s="9"/>
      <c r="D152" s="11"/>
      <c r="E152" s="11"/>
      <c r="F152" s="11"/>
      <c r="G152" s="10"/>
      <c r="H152" s="11"/>
      <c r="I152" s="11"/>
      <c r="J152" s="11"/>
      <c r="K152" s="10"/>
      <c r="L152" s="9"/>
      <c r="M152" s="8"/>
      <c r="N152" s="146" t="s">
        <v>26</v>
      </c>
    </row>
    <row r="153" spans="2:14">
      <c r="B153" s="134">
        <v>46147</v>
      </c>
      <c r="C153" s="9"/>
      <c r="D153" s="11"/>
      <c r="E153" s="11"/>
      <c r="F153" s="11"/>
      <c r="G153" s="10"/>
      <c r="H153" s="11"/>
      <c r="I153" s="11"/>
      <c r="J153" s="11"/>
      <c r="K153" s="10"/>
      <c r="L153" s="9"/>
      <c r="M153" s="8"/>
      <c r="N153" s="146" t="s">
        <v>25</v>
      </c>
    </row>
    <row r="154" spans="2:14">
      <c r="B154" s="134">
        <v>46148</v>
      </c>
      <c r="C154" s="9"/>
      <c r="D154" s="11"/>
      <c r="E154" s="11"/>
      <c r="F154" s="11"/>
      <c r="G154" s="10"/>
      <c r="H154" s="11"/>
      <c r="I154" s="11"/>
      <c r="J154" s="11"/>
      <c r="K154" s="10"/>
      <c r="L154" s="9"/>
      <c r="M154" s="8"/>
      <c r="N154" s="146" t="s">
        <v>24</v>
      </c>
    </row>
    <row r="155" spans="2:14">
      <c r="B155" s="134">
        <v>46149</v>
      </c>
      <c r="C155" s="9"/>
      <c r="D155" s="11"/>
      <c r="E155" s="11"/>
      <c r="F155" s="11"/>
      <c r="G155" s="10"/>
      <c r="H155" s="11"/>
      <c r="I155" s="11"/>
      <c r="J155" s="11"/>
      <c r="K155" s="10"/>
      <c r="L155" s="9"/>
      <c r="M155" s="8"/>
      <c r="N155" s="146" t="s">
        <v>23</v>
      </c>
    </row>
    <row r="156" spans="2:14">
      <c r="B156" s="134">
        <v>46150</v>
      </c>
      <c r="C156" s="9"/>
      <c r="D156" s="11"/>
      <c r="E156" s="11"/>
      <c r="F156" s="11"/>
      <c r="G156" s="10"/>
      <c r="H156" s="11"/>
      <c r="I156" s="11"/>
      <c r="J156" s="11"/>
      <c r="K156" s="10"/>
      <c r="L156" s="9"/>
      <c r="M156" s="8"/>
      <c r="N156" s="146" t="s">
        <v>22</v>
      </c>
    </row>
    <row r="157" spans="2:14">
      <c r="B157" s="134">
        <v>46151</v>
      </c>
      <c r="C157" s="9"/>
      <c r="D157" s="11"/>
      <c r="E157" s="11"/>
      <c r="F157" s="11"/>
      <c r="G157" s="10"/>
      <c r="H157" s="11"/>
      <c r="I157" s="11"/>
      <c r="J157" s="11"/>
      <c r="K157" s="10"/>
      <c r="L157" s="9"/>
      <c r="M157" s="8"/>
      <c r="N157" s="146" t="s">
        <v>21</v>
      </c>
    </row>
    <row r="158" spans="2:14">
      <c r="B158" s="134">
        <v>46152</v>
      </c>
      <c r="C158" s="9"/>
      <c r="D158" s="11"/>
      <c r="E158" s="11"/>
      <c r="F158" s="11"/>
      <c r="G158" s="10"/>
      <c r="H158" s="11"/>
      <c r="I158" s="11"/>
      <c r="J158" s="11"/>
      <c r="K158" s="10"/>
      <c r="L158" s="9"/>
      <c r="M158" s="8"/>
      <c r="N158" s="146" t="s">
        <v>20</v>
      </c>
    </row>
    <row r="159" spans="2:14">
      <c r="B159" s="134">
        <v>46153</v>
      </c>
      <c r="C159" s="9"/>
      <c r="D159" s="11"/>
      <c r="E159" s="11"/>
      <c r="F159" s="11"/>
      <c r="G159" s="10"/>
      <c r="H159" s="11"/>
      <c r="I159" s="11"/>
      <c r="J159" s="11"/>
      <c r="K159" s="10"/>
      <c r="L159" s="9"/>
      <c r="M159" s="8"/>
      <c r="N159" s="146" t="s">
        <v>19</v>
      </c>
    </row>
    <row r="160" spans="2:14">
      <c r="B160" s="134">
        <v>46154</v>
      </c>
      <c r="C160" s="9"/>
      <c r="D160" s="11"/>
      <c r="E160" s="11"/>
      <c r="F160" s="11"/>
      <c r="G160" s="10"/>
      <c r="H160" s="11"/>
      <c r="I160" s="11"/>
      <c r="J160" s="11"/>
      <c r="K160" s="10"/>
      <c r="L160" s="9"/>
      <c r="M160" s="8"/>
      <c r="N160" s="146" t="s">
        <v>18</v>
      </c>
    </row>
    <row r="161" spans="2:14">
      <c r="B161" s="134">
        <v>46155</v>
      </c>
      <c r="C161" s="9"/>
      <c r="D161" s="11"/>
      <c r="E161" s="11"/>
      <c r="F161" s="11"/>
      <c r="G161" s="10"/>
      <c r="H161" s="11"/>
      <c r="I161" s="11"/>
      <c r="J161" s="11"/>
      <c r="K161" s="10"/>
      <c r="L161" s="9"/>
      <c r="M161" s="8"/>
      <c r="N161" s="146" t="s">
        <v>17</v>
      </c>
    </row>
    <row r="162" spans="2:14">
      <c r="B162" s="134">
        <v>46156</v>
      </c>
      <c r="C162" s="9"/>
      <c r="D162" s="11"/>
      <c r="E162" s="11"/>
      <c r="F162" s="11"/>
      <c r="G162" s="10"/>
      <c r="H162" s="11"/>
      <c r="I162" s="11"/>
      <c r="J162" s="11"/>
      <c r="K162" s="10"/>
      <c r="L162" s="9"/>
      <c r="M162" s="8"/>
      <c r="N162" s="146" t="s">
        <v>16</v>
      </c>
    </row>
    <row r="163" spans="2:14">
      <c r="B163" s="134">
        <v>46157</v>
      </c>
      <c r="C163" s="9"/>
      <c r="D163" s="11"/>
      <c r="E163" s="11"/>
      <c r="F163" s="11"/>
      <c r="G163" s="10"/>
      <c r="H163" s="11"/>
      <c r="I163" s="11"/>
      <c r="J163" s="11"/>
      <c r="K163" s="10"/>
      <c r="L163" s="9"/>
      <c r="M163" s="8"/>
      <c r="N163" s="146" t="s">
        <v>15</v>
      </c>
    </row>
    <row r="164" spans="2:14">
      <c r="B164" s="134">
        <v>46158</v>
      </c>
      <c r="C164" s="9"/>
      <c r="D164" s="11"/>
      <c r="E164" s="11"/>
      <c r="F164" s="11"/>
      <c r="G164" s="10"/>
      <c r="H164" s="11"/>
      <c r="I164" s="11"/>
      <c r="J164" s="11"/>
      <c r="K164" s="10"/>
      <c r="L164" s="9"/>
      <c r="M164" s="8"/>
      <c r="N164" s="146" t="s">
        <v>14</v>
      </c>
    </row>
    <row r="165" spans="2:14">
      <c r="B165" s="134">
        <v>46159</v>
      </c>
      <c r="C165" s="9"/>
      <c r="D165" s="11"/>
      <c r="E165" s="11"/>
      <c r="F165" s="11"/>
      <c r="G165" s="10"/>
      <c r="H165" s="11"/>
      <c r="I165" s="11"/>
      <c r="J165" s="11"/>
      <c r="K165" s="10"/>
      <c r="L165" s="9"/>
      <c r="M165" s="8"/>
      <c r="N165" s="146" t="s">
        <v>13</v>
      </c>
    </row>
    <row r="166" spans="2:14">
      <c r="B166" s="134">
        <v>46160</v>
      </c>
      <c r="C166" s="9"/>
      <c r="D166" s="11"/>
      <c r="E166" s="11"/>
      <c r="F166" s="11"/>
      <c r="G166" s="10"/>
      <c r="H166" s="11"/>
      <c r="I166" s="11"/>
      <c r="J166" s="11"/>
      <c r="K166" s="10"/>
      <c r="L166" s="9"/>
      <c r="M166" s="8"/>
      <c r="N166" s="146" t="s">
        <v>12</v>
      </c>
    </row>
    <row r="167" spans="2:14">
      <c r="B167" s="134">
        <v>46161</v>
      </c>
      <c r="C167" s="9"/>
      <c r="D167" s="11"/>
      <c r="E167" s="11"/>
      <c r="F167" s="11"/>
      <c r="G167" s="10"/>
      <c r="H167" s="11"/>
      <c r="I167" s="11"/>
      <c r="J167" s="11"/>
      <c r="K167" s="10"/>
      <c r="L167" s="9"/>
      <c r="M167" s="8"/>
      <c r="N167" s="146" t="s">
        <v>11</v>
      </c>
    </row>
    <row r="168" spans="2:14">
      <c r="B168" s="134">
        <v>46162</v>
      </c>
      <c r="C168" s="9"/>
      <c r="D168" s="11"/>
      <c r="E168" s="11"/>
      <c r="F168" s="11"/>
      <c r="G168" s="10"/>
      <c r="H168" s="11"/>
      <c r="I168" s="11"/>
      <c r="J168" s="11"/>
      <c r="K168" s="10"/>
      <c r="L168" s="9"/>
      <c r="M168" s="8"/>
      <c r="N168" s="146" t="s">
        <v>10</v>
      </c>
    </row>
    <row r="169" spans="2:14">
      <c r="B169" s="134">
        <v>46163</v>
      </c>
      <c r="C169" s="9"/>
      <c r="D169" s="11"/>
      <c r="E169" s="11"/>
      <c r="F169" s="11"/>
      <c r="G169" s="10"/>
      <c r="H169" s="11"/>
      <c r="I169" s="11"/>
      <c r="J169" s="11"/>
      <c r="K169" s="10"/>
      <c r="L169" s="9"/>
      <c r="M169" s="8"/>
      <c r="N169" s="146" t="s">
        <v>9</v>
      </c>
    </row>
    <row r="170" spans="2:14">
      <c r="B170" s="134">
        <v>46164</v>
      </c>
      <c r="C170" s="9"/>
      <c r="D170" s="11"/>
      <c r="E170" s="11"/>
      <c r="F170" s="11"/>
      <c r="G170" s="10"/>
      <c r="H170" s="11"/>
      <c r="I170" s="11"/>
      <c r="J170" s="11"/>
      <c r="K170" s="10"/>
      <c r="L170" s="9"/>
      <c r="M170" s="8"/>
      <c r="N170" s="146" t="s">
        <v>8</v>
      </c>
    </row>
    <row r="171" spans="2:14">
      <c r="B171" s="134">
        <v>46165</v>
      </c>
      <c r="C171" s="9"/>
      <c r="D171" s="11"/>
      <c r="E171" s="11"/>
      <c r="F171" s="11"/>
      <c r="G171" s="10"/>
      <c r="H171" s="11"/>
      <c r="I171" s="11"/>
      <c r="J171" s="11"/>
      <c r="K171" s="10"/>
      <c r="L171" s="9"/>
      <c r="M171" s="8"/>
      <c r="N171" s="146" t="s">
        <v>7</v>
      </c>
    </row>
    <row r="172" spans="2:14">
      <c r="B172" s="134">
        <v>46166</v>
      </c>
      <c r="C172" s="9"/>
      <c r="D172" s="11"/>
      <c r="E172" s="11"/>
      <c r="F172" s="11"/>
      <c r="G172" s="10"/>
      <c r="H172" s="11"/>
      <c r="I172" s="11"/>
      <c r="J172" s="11"/>
      <c r="K172" s="10"/>
      <c r="L172" s="9"/>
      <c r="M172" s="8"/>
      <c r="N172" s="146" t="s">
        <v>6</v>
      </c>
    </row>
    <row r="173" spans="2:14">
      <c r="B173" s="134">
        <v>46167</v>
      </c>
      <c r="C173" s="9"/>
      <c r="D173" s="11"/>
      <c r="E173" s="11"/>
      <c r="F173" s="11"/>
      <c r="G173" s="10"/>
      <c r="H173" s="11"/>
      <c r="I173" s="11"/>
      <c r="J173" s="11"/>
      <c r="K173" s="10"/>
      <c r="L173" s="9"/>
      <c r="M173" s="8"/>
      <c r="N173" s="146" t="s">
        <v>5</v>
      </c>
    </row>
    <row r="174" spans="2:14">
      <c r="B174" s="134">
        <v>46168</v>
      </c>
      <c r="C174" s="9"/>
      <c r="D174" s="11"/>
      <c r="E174" s="11"/>
      <c r="F174" s="11"/>
      <c r="G174" s="10"/>
      <c r="H174" s="11"/>
      <c r="I174" s="11"/>
      <c r="J174" s="11"/>
      <c r="K174" s="10"/>
      <c r="L174" s="9"/>
      <c r="M174" s="8"/>
      <c r="N174" s="146" t="s">
        <v>4</v>
      </c>
    </row>
    <row r="175" spans="2:14">
      <c r="B175" s="134">
        <v>46169</v>
      </c>
      <c r="C175" s="9"/>
      <c r="D175" s="11"/>
      <c r="E175" s="11"/>
      <c r="F175" s="11"/>
      <c r="G175" s="10"/>
      <c r="H175" s="11"/>
      <c r="I175" s="11"/>
      <c r="J175" s="11"/>
      <c r="K175" s="10"/>
      <c r="L175" s="9"/>
      <c r="M175" s="8"/>
      <c r="N175" s="146" t="s">
        <v>3</v>
      </c>
    </row>
    <row r="176" spans="2:14">
      <c r="B176" s="134">
        <v>46170</v>
      </c>
      <c r="C176" s="9"/>
      <c r="D176" s="11"/>
      <c r="E176" s="11"/>
      <c r="F176" s="11"/>
      <c r="G176" s="10"/>
      <c r="H176" s="11"/>
      <c r="I176" s="11"/>
      <c r="J176" s="11"/>
      <c r="K176" s="10"/>
      <c r="L176" s="9"/>
      <c r="M176" s="8"/>
      <c r="N176" s="146" t="s">
        <v>2</v>
      </c>
    </row>
    <row r="177" spans="2:14">
      <c r="B177" s="134">
        <v>46171</v>
      </c>
      <c r="C177" s="9"/>
      <c r="D177" s="11"/>
      <c r="E177" s="11"/>
      <c r="F177" s="11"/>
      <c r="G177" s="10"/>
      <c r="H177" s="11"/>
      <c r="I177" s="11"/>
      <c r="J177" s="11"/>
      <c r="K177" s="10"/>
      <c r="L177" s="9"/>
      <c r="M177" s="8"/>
      <c r="N177" s="146" t="s">
        <v>1</v>
      </c>
    </row>
    <row r="178" spans="2:14">
      <c r="B178" s="134">
        <v>46172</v>
      </c>
      <c r="C178" s="9"/>
      <c r="D178" s="11"/>
      <c r="E178" s="11"/>
      <c r="F178" s="11"/>
      <c r="G178" s="10"/>
      <c r="H178" s="11"/>
      <c r="I178" s="11"/>
      <c r="J178" s="11"/>
      <c r="K178" s="10"/>
      <c r="L178" s="9"/>
      <c r="M178" s="8"/>
      <c r="N178" s="146" t="s">
        <v>59</v>
      </c>
    </row>
    <row r="179" spans="2:14" ht="17.25" thickBot="1">
      <c r="B179" s="150">
        <v>46173</v>
      </c>
      <c r="C179" s="3"/>
      <c r="D179" s="5"/>
      <c r="E179" s="5"/>
      <c r="F179" s="5"/>
      <c r="G179" s="4"/>
      <c r="H179" s="5"/>
      <c r="I179" s="5"/>
      <c r="J179" s="5"/>
      <c r="K179" s="4"/>
      <c r="L179" s="3"/>
      <c r="M179" s="2"/>
      <c r="N179" s="147" t="s">
        <v>72</v>
      </c>
    </row>
    <row r="182" spans="2:14" ht="17.25" thickBot="1"/>
    <row r="183" spans="2:14" ht="21.75" thickBot="1">
      <c r="B183" s="217"/>
      <c r="C183" s="218" t="s">
        <v>137</v>
      </c>
      <c r="D183" s="219"/>
      <c r="E183" s="219"/>
      <c r="F183" s="219"/>
      <c r="G183" s="220"/>
      <c r="H183" s="221" t="s">
        <v>83</v>
      </c>
      <c r="I183" s="222"/>
      <c r="J183" s="222"/>
      <c r="K183" s="223"/>
      <c r="L183" s="221" t="s">
        <v>82</v>
      </c>
      <c r="M183" s="224"/>
      <c r="N183" s="225" t="s">
        <v>81</v>
      </c>
    </row>
    <row r="184" spans="2:14" ht="20.25" thickBot="1">
      <c r="B184" s="195"/>
      <c r="C184" s="43" t="s">
        <v>75</v>
      </c>
      <c r="D184" s="45" t="s">
        <v>74</v>
      </c>
      <c r="E184" s="45" t="s">
        <v>80</v>
      </c>
      <c r="F184" s="45" t="s">
        <v>79</v>
      </c>
      <c r="G184" s="46" t="s">
        <v>78</v>
      </c>
      <c r="H184" s="45" t="s">
        <v>151</v>
      </c>
      <c r="I184" s="45" t="s">
        <v>77</v>
      </c>
      <c r="J184" s="45" t="s">
        <v>150</v>
      </c>
      <c r="K184" s="44" t="s">
        <v>76</v>
      </c>
      <c r="L184" s="43" t="s">
        <v>75</v>
      </c>
      <c r="M184" s="42" t="s">
        <v>74</v>
      </c>
      <c r="N184" s="226"/>
    </row>
    <row r="185" spans="2:14" ht="21.75" thickBot="1">
      <c r="B185" s="23" t="s">
        <v>30</v>
      </c>
      <c r="C185" s="135">
        <f t="shared" ref="C185:M185" si="6">SUM(C186:C215)</f>
        <v>0</v>
      </c>
      <c r="D185" s="136">
        <f t="shared" si="6"/>
        <v>0</v>
      </c>
      <c r="E185" s="136">
        <f t="shared" si="6"/>
        <v>0</v>
      </c>
      <c r="F185" s="136">
        <f t="shared" si="6"/>
        <v>0</v>
      </c>
      <c r="G185" s="137">
        <f t="shared" si="6"/>
        <v>0</v>
      </c>
      <c r="H185" s="138">
        <f t="shared" si="6"/>
        <v>0</v>
      </c>
      <c r="I185" s="138">
        <f t="shared" si="6"/>
        <v>0</v>
      </c>
      <c r="J185" s="138">
        <f t="shared" si="6"/>
        <v>0</v>
      </c>
      <c r="K185" s="139">
        <f t="shared" si="6"/>
        <v>0</v>
      </c>
      <c r="L185" s="135">
        <f t="shared" si="6"/>
        <v>0</v>
      </c>
      <c r="M185" s="140">
        <f t="shared" si="6"/>
        <v>0</v>
      </c>
      <c r="N185" s="141"/>
    </row>
    <row r="186" spans="2:14">
      <c r="B186" s="149">
        <v>46174</v>
      </c>
      <c r="C186" s="142"/>
      <c r="D186" s="143"/>
      <c r="E186" s="143"/>
      <c r="F186" s="143"/>
      <c r="G186" s="144"/>
      <c r="H186" s="143"/>
      <c r="I186" s="143"/>
      <c r="J186" s="143"/>
      <c r="K186" s="144"/>
      <c r="L186" s="142"/>
      <c r="M186" s="148"/>
      <c r="N186" s="145" t="s">
        <v>29</v>
      </c>
    </row>
    <row r="187" spans="2:14">
      <c r="B187" s="134">
        <v>46175</v>
      </c>
      <c r="C187" s="9"/>
      <c r="D187" s="11"/>
      <c r="E187" s="11"/>
      <c r="F187" s="11"/>
      <c r="G187" s="10"/>
      <c r="H187" s="11"/>
      <c r="I187" s="11"/>
      <c r="J187" s="11"/>
      <c r="K187" s="10"/>
      <c r="L187" s="9"/>
      <c r="M187" s="8"/>
      <c r="N187" s="146" t="s">
        <v>28</v>
      </c>
    </row>
    <row r="188" spans="2:14">
      <c r="B188" s="134">
        <v>46176</v>
      </c>
      <c r="C188" s="9"/>
      <c r="D188" s="11"/>
      <c r="E188" s="11"/>
      <c r="F188" s="11"/>
      <c r="G188" s="10"/>
      <c r="H188" s="11"/>
      <c r="I188" s="11"/>
      <c r="J188" s="11"/>
      <c r="K188" s="10"/>
      <c r="L188" s="9"/>
      <c r="M188" s="8"/>
      <c r="N188" s="146" t="s">
        <v>27</v>
      </c>
    </row>
    <row r="189" spans="2:14">
      <c r="B189" s="134">
        <v>46177</v>
      </c>
      <c r="C189" s="9"/>
      <c r="D189" s="11"/>
      <c r="E189" s="11"/>
      <c r="F189" s="11"/>
      <c r="G189" s="10"/>
      <c r="H189" s="11"/>
      <c r="I189" s="11"/>
      <c r="J189" s="11"/>
      <c r="K189" s="10"/>
      <c r="L189" s="9"/>
      <c r="M189" s="8"/>
      <c r="N189" s="146" t="s">
        <v>26</v>
      </c>
    </row>
    <row r="190" spans="2:14">
      <c r="B190" s="134">
        <v>46178</v>
      </c>
      <c r="C190" s="9"/>
      <c r="D190" s="11"/>
      <c r="E190" s="11"/>
      <c r="F190" s="11"/>
      <c r="G190" s="10"/>
      <c r="H190" s="11"/>
      <c r="I190" s="11"/>
      <c r="J190" s="11"/>
      <c r="K190" s="10"/>
      <c r="L190" s="9"/>
      <c r="M190" s="8"/>
      <c r="N190" s="146" t="s">
        <v>25</v>
      </c>
    </row>
    <row r="191" spans="2:14">
      <c r="B191" s="134">
        <v>46179</v>
      </c>
      <c r="C191" s="9"/>
      <c r="D191" s="11"/>
      <c r="E191" s="11"/>
      <c r="F191" s="11"/>
      <c r="G191" s="10"/>
      <c r="H191" s="11"/>
      <c r="I191" s="11"/>
      <c r="J191" s="11"/>
      <c r="K191" s="10"/>
      <c r="L191" s="9"/>
      <c r="M191" s="8"/>
      <c r="N191" s="146" t="s">
        <v>24</v>
      </c>
    </row>
    <row r="192" spans="2:14">
      <c r="B192" s="134">
        <v>46180</v>
      </c>
      <c r="C192" s="9"/>
      <c r="D192" s="11"/>
      <c r="E192" s="11"/>
      <c r="F192" s="11"/>
      <c r="G192" s="10"/>
      <c r="H192" s="11"/>
      <c r="I192" s="11"/>
      <c r="J192" s="11"/>
      <c r="K192" s="10"/>
      <c r="L192" s="9"/>
      <c r="M192" s="8"/>
      <c r="N192" s="146" t="s">
        <v>23</v>
      </c>
    </row>
    <row r="193" spans="2:14">
      <c r="B193" s="134">
        <v>46181</v>
      </c>
      <c r="C193" s="9"/>
      <c r="D193" s="11"/>
      <c r="E193" s="11"/>
      <c r="F193" s="11"/>
      <c r="G193" s="10"/>
      <c r="H193" s="11"/>
      <c r="I193" s="11"/>
      <c r="J193" s="11"/>
      <c r="K193" s="10"/>
      <c r="L193" s="9"/>
      <c r="M193" s="8"/>
      <c r="N193" s="146" t="s">
        <v>22</v>
      </c>
    </row>
    <row r="194" spans="2:14">
      <c r="B194" s="134">
        <v>46182</v>
      </c>
      <c r="C194" s="9"/>
      <c r="D194" s="11"/>
      <c r="E194" s="11"/>
      <c r="F194" s="11"/>
      <c r="G194" s="10"/>
      <c r="H194" s="11"/>
      <c r="I194" s="11"/>
      <c r="J194" s="11"/>
      <c r="K194" s="10"/>
      <c r="L194" s="9"/>
      <c r="M194" s="8"/>
      <c r="N194" s="146" t="s">
        <v>21</v>
      </c>
    </row>
    <row r="195" spans="2:14">
      <c r="B195" s="134">
        <v>46183</v>
      </c>
      <c r="C195" s="9"/>
      <c r="D195" s="11"/>
      <c r="E195" s="11"/>
      <c r="F195" s="11"/>
      <c r="G195" s="10"/>
      <c r="H195" s="11"/>
      <c r="I195" s="11"/>
      <c r="J195" s="11"/>
      <c r="K195" s="10"/>
      <c r="L195" s="9"/>
      <c r="M195" s="8"/>
      <c r="N195" s="146" t="s">
        <v>20</v>
      </c>
    </row>
    <row r="196" spans="2:14">
      <c r="B196" s="134">
        <v>46184</v>
      </c>
      <c r="C196" s="9"/>
      <c r="D196" s="11"/>
      <c r="E196" s="11"/>
      <c r="F196" s="11"/>
      <c r="G196" s="10"/>
      <c r="H196" s="11"/>
      <c r="I196" s="11"/>
      <c r="J196" s="11"/>
      <c r="K196" s="10"/>
      <c r="L196" s="9"/>
      <c r="M196" s="8"/>
      <c r="N196" s="146" t="s">
        <v>19</v>
      </c>
    </row>
    <row r="197" spans="2:14">
      <c r="B197" s="134">
        <v>46185</v>
      </c>
      <c r="C197" s="9"/>
      <c r="D197" s="11"/>
      <c r="E197" s="11"/>
      <c r="F197" s="11"/>
      <c r="G197" s="10"/>
      <c r="H197" s="11"/>
      <c r="I197" s="11"/>
      <c r="J197" s="11"/>
      <c r="K197" s="10"/>
      <c r="L197" s="9"/>
      <c r="M197" s="8"/>
      <c r="N197" s="146" t="s">
        <v>18</v>
      </c>
    </row>
    <row r="198" spans="2:14">
      <c r="B198" s="134">
        <v>46186</v>
      </c>
      <c r="C198" s="9"/>
      <c r="D198" s="11"/>
      <c r="E198" s="11"/>
      <c r="F198" s="11"/>
      <c r="G198" s="10"/>
      <c r="H198" s="11"/>
      <c r="I198" s="11"/>
      <c r="J198" s="11"/>
      <c r="K198" s="10"/>
      <c r="L198" s="9"/>
      <c r="M198" s="8"/>
      <c r="N198" s="146" t="s">
        <v>17</v>
      </c>
    </row>
    <row r="199" spans="2:14">
      <c r="B199" s="134">
        <v>46187</v>
      </c>
      <c r="C199" s="9"/>
      <c r="D199" s="11"/>
      <c r="E199" s="11"/>
      <c r="F199" s="11"/>
      <c r="G199" s="10"/>
      <c r="H199" s="11"/>
      <c r="I199" s="11"/>
      <c r="J199" s="11"/>
      <c r="K199" s="10"/>
      <c r="L199" s="9"/>
      <c r="M199" s="8"/>
      <c r="N199" s="146" t="s">
        <v>16</v>
      </c>
    </row>
    <row r="200" spans="2:14">
      <c r="B200" s="134">
        <v>46188</v>
      </c>
      <c r="C200" s="9"/>
      <c r="D200" s="11"/>
      <c r="E200" s="11"/>
      <c r="F200" s="11"/>
      <c r="G200" s="10"/>
      <c r="H200" s="11"/>
      <c r="I200" s="11"/>
      <c r="J200" s="11"/>
      <c r="K200" s="10"/>
      <c r="L200" s="9"/>
      <c r="M200" s="8"/>
      <c r="N200" s="146" t="s">
        <v>15</v>
      </c>
    </row>
    <row r="201" spans="2:14">
      <c r="B201" s="134">
        <v>46189</v>
      </c>
      <c r="C201" s="9"/>
      <c r="D201" s="11"/>
      <c r="E201" s="11"/>
      <c r="F201" s="11"/>
      <c r="G201" s="10"/>
      <c r="H201" s="11"/>
      <c r="I201" s="11"/>
      <c r="J201" s="11"/>
      <c r="K201" s="10"/>
      <c r="L201" s="9"/>
      <c r="M201" s="8"/>
      <c r="N201" s="146" t="s">
        <v>14</v>
      </c>
    </row>
    <row r="202" spans="2:14">
      <c r="B202" s="134">
        <v>46190</v>
      </c>
      <c r="C202" s="9"/>
      <c r="D202" s="11"/>
      <c r="E202" s="11"/>
      <c r="F202" s="11"/>
      <c r="G202" s="10"/>
      <c r="H202" s="11"/>
      <c r="I202" s="11"/>
      <c r="J202" s="11"/>
      <c r="K202" s="10"/>
      <c r="L202" s="9"/>
      <c r="M202" s="8"/>
      <c r="N202" s="146" t="s">
        <v>13</v>
      </c>
    </row>
    <row r="203" spans="2:14">
      <c r="B203" s="134">
        <v>46191</v>
      </c>
      <c r="C203" s="9"/>
      <c r="D203" s="11"/>
      <c r="E203" s="11"/>
      <c r="F203" s="11"/>
      <c r="G203" s="10"/>
      <c r="H203" s="11"/>
      <c r="I203" s="11"/>
      <c r="J203" s="11"/>
      <c r="K203" s="10"/>
      <c r="L203" s="9"/>
      <c r="M203" s="8"/>
      <c r="N203" s="146" t="s">
        <v>12</v>
      </c>
    </row>
    <row r="204" spans="2:14">
      <c r="B204" s="134">
        <v>46192</v>
      </c>
      <c r="C204" s="9"/>
      <c r="D204" s="11"/>
      <c r="E204" s="11"/>
      <c r="F204" s="11"/>
      <c r="G204" s="10"/>
      <c r="H204" s="11"/>
      <c r="I204" s="11"/>
      <c r="J204" s="11"/>
      <c r="K204" s="10"/>
      <c r="L204" s="9"/>
      <c r="M204" s="8"/>
      <c r="N204" s="146" t="s">
        <v>11</v>
      </c>
    </row>
    <row r="205" spans="2:14">
      <c r="B205" s="134">
        <v>46193</v>
      </c>
      <c r="C205" s="9"/>
      <c r="D205" s="11"/>
      <c r="E205" s="11"/>
      <c r="F205" s="11"/>
      <c r="G205" s="10"/>
      <c r="H205" s="11"/>
      <c r="I205" s="11"/>
      <c r="J205" s="11"/>
      <c r="K205" s="10"/>
      <c r="L205" s="9"/>
      <c r="M205" s="8"/>
      <c r="N205" s="146" t="s">
        <v>10</v>
      </c>
    </row>
    <row r="206" spans="2:14">
      <c r="B206" s="134">
        <v>46194</v>
      </c>
      <c r="C206" s="9"/>
      <c r="D206" s="11"/>
      <c r="E206" s="11"/>
      <c r="F206" s="11"/>
      <c r="G206" s="10"/>
      <c r="H206" s="11"/>
      <c r="I206" s="11"/>
      <c r="J206" s="11"/>
      <c r="K206" s="10"/>
      <c r="L206" s="9"/>
      <c r="M206" s="8"/>
      <c r="N206" s="146" t="s">
        <v>9</v>
      </c>
    </row>
    <row r="207" spans="2:14">
      <c r="B207" s="134">
        <v>46195</v>
      </c>
      <c r="C207" s="9"/>
      <c r="D207" s="11"/>
      <c r="E207" s="11"/>
      <c r="F207" s="11"/>
      <c r="G207" s="10"/>
      <c r="H207" s="11"/>
      <c r="I207" s="11"/>
      <c r="J207" s="11"/>
      <c r="K207" s="10"/>
      <c r="L207" s="9"/>
      <c r="M207" s="8"/>
      <c r="N207" s="146" t="s">
        <v>8</v>
      </c>
    </row>
    <row r="208" spans="2:14">
      <c r="B208" s="134">
        <v>46196</v>
      </c>
      <c r="C208" s="9"/>
      <c r="D208" s="11"/>
      <c r="E208" s="11"/>
      <c r="F208" s="11"/>
      <c r="G208" s="10"/>
      <c r="H208" s="11"/>
      <c r="I208" s="11"/>
      <c r="J208" s="11"/>
      <c r="K208" s="10"/>
      <c r="L208" s="9"/>
      <c r="M208" s="8"/>
      <c r="N208" s="146" t="s">
        <v>7</v>
      </c>
    </row>
    <row r="209" spans="2:14">
      <c r="B209" s="134">
        <v>46197</v>
      </c>
      <c r="C209" s="9"/>
      <c r="D209" s="11"/>
      <c r="E209" s="11"/>
      <c r="F209" s="11"/>
      <c r="G209" s="10"/>
      <c r="H209" s="11"/>
      <c r="I209" s="11"/>
      <c r="J209" s="11"/>
      <c r="K209" s="10"/>
      <c r="L209" s="9"/>
      <c r="M209" s="8"/>
      <c r="N209" s="146" t="s">
        <v>6</v>
      </c>
    </row>
    <row r="210" spans="2:14">
      <c r="B210" s="134">
        <v>46198</v>
      </c>
      <c r="C210" s="9"/>
      <c r="D210" s="11"/>
      <c r="E210" s="11"/>
      <c r="F210" s="11"/>
      <c r="G210" s="10"/>
      <c r="H210" s="11"/>
      <c r="I210" s="11"/>
      <c r="J210" s="11"/>
      <c r="K210" s="10"/>
      <c r="L210" s="9"/>
      <c r="M210" s="8"/>
      <c r="N210" s="146" t="s">
        <v>5</v>
      </c>
    </row>
    <row r="211" spans="2:14">
      <c r="B211" s="134">
        <v>46199</v>
      </c>
      <c r="C211" s="9"/>
      <c r="D211" s="11"/>
      <c r="E211" s="11"/>
      <c r="F211" s="11"/>
      <c r="G211" s="10"/>
      <c r="H211" s="11"/>
      <c r="I211" s="11"/>
      <c r="J211" s="11"/>
      <c r="K211" s="10"/>
      <c r="L211" s="9"/>
      <c r="M211" s="8"/>
      <c r="N211" s="146" t="s">
        <v>4</v>
      </c>
    </row>
    <row r="212" spans="2:14">
      <c r="B212" s="134">
        <v>46200</v>
      </c>
      <c r="C212" s="9"/>
      <c r="D212" s="11"/>
      <c r="E212" s="11"/>
      <c r="F212" s="11"/>
      <c r="G212" s="10"/>
      <c r="H212" s="11"/>
      <c r="I212" s="11"/>
      <c r="J212" s="11"/>
      <c r="K212" s="10"/>
      <c r="L212" s="9"/>
      <c r="M212" s="8"/>
      <c r="N212" s="146" t="s">
        <v>3</v>
      </c>
    </row>
    <row r="213" spans="2:14">
      <c r="B213" s="134">
        <v>46201</v>
      </c>
      <c r="C213" s="9"/>
      <c r="D213" s="11"/>
      <c r="E213" s="11"/>
      <c r="F213" s="11"/>
      <c r="G213" s="10"/>
      <c r="H213" s="11"/>
      <c r="I213" s="11"/>
      <c r="J213" s="11"/>
      <c r="K213" s="10"/>
      <c r="L213" s="9"/>
      <c r="M213" s="8"/>
      <c r="N213" s="146" t="s">
        <v>2</v>
      </c>
    </row>
    <row r="214" spans="2:14">
      <c r="B214" s="134">
        <v>46202</v>
      </c>
      <c r="C214" s="9"/>
      <c r="D214" s="11"/>
      <c r="E214" s="11"/>
      <c r="F214" s="11"/>
      <c r="G214" s="10"/>
      <c r="H214" s="11"/>
      <c r="I214" s="11"/>
      <c r="J214" s="11"/>
      <c r="K214" s="10"/>
      <c r="L214" s="9"/>
      <c r="M214" s="8"/>
      <c r="N214" s="146" t="s">
        <v>1</v>
      </c>
    </row>
    <row r="215" spans="2:14" ht="17.25" thickBot="1">
      <c r="B215" s="150">
        <v>46203</v>
      </c>
      <c r="C215" s="3"/>
      <c r="D215" s="5"/>
      <c r="E215" s="5"/>
      <c r="F215" s="5"/>
      <c r="G215" s="4"/>
      <c r="H215" s="5"/>
      <c r="I215" s="5"/>
      <c r="J215" s="5"/>
      <c r="K215" s="4"/>
      <c r="L215" s="3"/>
      <c r="M215" s="2"/>
      <c r="N215" s="147" t="s">
        <v>59</v>
      </c>
    </row>
    <row r="218" spans="2:14" ht="17.25" thickBot="1"/>
    <row r="219" spans="2:14" ht="21.75" thickBot="1">
      <c r="B219" s="217"/>
      <c r="C219" s="218" t="s">
        <v>137</v>
      </c>
      <c r="D219" s="219"/>
      <c r="E219" s="219"/>
      <c r="F219" s="219"/>
      <c r="G219" s="220"/>
      <c r="H219" s="221" t="s">
        <v>83</v>
      </c>
      <c r="I219" s="222"/>
      <c r="J219" s="222"/>
      <c r="K219" s="223"/>
      <c r="L219" s="221" t="s">
        <v>82</v>
      </c>
      <c r="M219" s="224"/>
      <c r="N219" s="225" t="s">
        <v>81</v>
      </c>
    </row>
    <row r="220" spans="2:14" ht="20.25" thickBot="1">
      <c r="B220" s="195"/>
      <c r="C220" s="43" t="s">
        <v>75</v>
      </c>
      <c r="D220" s="45" t="s">
        <v>74</v>
      </c>
      <c r="E220" s="45" t="s">
        <v>80</v>
      </c>
      <c r="F220" s="45" t="s">
        <v>79</v>
      </c>
      <c r="G220" s="46" t="s">
        <v>78</v>
      </c>
      <c r="H220" s="45" t="s">
        <v>151</v>
      </c>
      <c r="I220" s="45" t="s">
        <v>77</v>
      </c>
      <c r="J220" s="45" t="s">
        <v>150</v>
      </c>
      <c r="K220" s="44" t="s">
        <v>76</v>
      </c>
      <c r="L220" s="43" t="s">
        <v>75</v>
      </c>
      <c r="M220" s="42" t="s">
        <v>74</v>
      </c>
      <c r="N220" s="226"/>
    </row>
    <row r="221" spans="2:14" ht="21.75" thickBot="1">
      <c r="B221" s="23" t="s">
        <v>153</v>
      </c>
      <c r="C221" s="135">
        <f t="shared" ref="C221:M221" si="7">SUM(C222:C251)</f>
        <v>0</v>
      </c>
      <c r="D221" s="136">
        <f t="shared" si="7"/>
        <v>0</v>
      </c>
      <c r="E221" s="136">
        <f t="shared" si="7"/>
        <v>0</v>
      </c>
      <c r="F221" s="136">
        <f t="shared" si="7"/>
        <v>0</v>
      </c>
      <c r="G221" s="137">
        <f t="shared" si="7"/>
        <v>0</v>
      </c>
      <c r="H221" s="138">
        <f t="shared" si="7"/>
        <v>0</v>
      </c>
      <c r="I221" s="138">
        <f t="shared" si="7"/>
        <v>0</v>
      </c>
      <c r="J221" s="138">
        <f t="shared" si="7"/>
        <v>0</v>
      </c>
      <c r="K221" s="139">
        <f t="shared" si="7"/>
        <v>0</v>
      </c>
      <c r="L221" s="135">
        <f t="shared" si="7"/>
        <v>0</v>
      </c>
      <c r="M221" s="140">
        <f t="shared" si="7"/>
        <v>0</v>
      </c>
      <c r="N221" s="141"/>
    </row>
    <row r="222" spans="2:14">
      <c r="B222" s="149">
        <v>46204</v>
      </c>
      <c r="C222" s="142"/>
      <c r="D222" s="143"/>
      <c r="E222" s="143"/>
      <c r="F222" s="143"/>
      <c r="G222" s="144"/>
      <c r="H222" s="143"/>
      <c r="I222" s="143"/>
      <c r="J222" s="143"/>
      <c r="K222" s="144"/>
      <c r="L222" s="142"/>
      <c r="M222" s="148"/>
      <c r="N222" s="145" t="s">
        <v>29</v>
      </c>
    </row>
    <row r="223" spans="2:14">
      <c r="B223" s="134">
        <v>46205</v>
      </c>
      <c r="C223" s="9"/>
      <c r="D223" s="11"/>
      <c r="E223" s="11"/>
      <c r="F223" s="11"/>
      <c r="G223" s="10"/>
      <c r="H223" s="11"/>
      <c r="I223" s="11"/>
      <c r="J223" s="11"/>
      <c r="K223" s="10"/>
      <c r="L223" s="9"/>
      <c r="M223" s="8"/>
      <c r="N223" s="146" t="s">
        <v>28</v>
      </c>
    </row>
    <row r="224" spans="2:14">
      <c r="B224" s="134">
        <v>46206</v>
      </c>
      <c r="C224" s="9"/>
      <c r="D224" s="11"/>
      <c r="E224" s="11"/>
      <c r="F224" s="11"/>
      <c r="G224" s="10"/>
      <c r="H224" s="11"/>
      <c r="I224" s="11"/>
      <c r="J224" s="11"/>
      <c r="K224" s="10"/>
      <c r="L224" s="9"/>
      <c r="M224" s="8"/>
      <c r="N224" s="146" t="s">
        <v>27</v>
      </c>
    </row>
    <row r="225" spans="2:14">
      <c r="B225" s="134">
        <v>46207</v>
      </c>
      <c r="C225" s="9"/>
      <c r="D225" s="11"/>
      <c r="E225" s="11"/>
      <c r="F225" s="11"/>
      <c r="G225" s="10"/>
      <c r="H225" s="11"/>
      <c r="I225" s="11"/>
      <c r="J225" s="11"/>
      <c r="K225" s="10"/>
      <c r="L225" s="9"/>
      <c r="M225" s="8"/>
      <c r="N225" s="146" t="s">
        <v>26</v>
      </c>
    </row>
    <row r="226" spans="2:14">
      <c r="B226" s="134">
        <v>46208</v>
      </c>
      <c r="C226" s="9"/>
      <c r="D226" s="11"/>
      <c r="E226" s="11"/>
      <c r="F226" s="11"/>
      <c r="G226" s="10"/>
      <c r="H226" s="11"/>
      <c r="I226" s="11"/>
      <c r="J226" s="11"/>
      <c r="K226" s="10"/>
      <c r="L226" s="9"/>
      <c r="M226" s="8"/>
      <c r="N226" s="146" t="s">
        <v>25</v>
      </c>
    </row>
    <row r="227" spans="2:14">
      <c r="B227" s="134">
        <v>46209</v>
      </c>
      <c r="C227" s="9"/>
      <c r="D227" s="11"/>
      <c r="E227" s="11"/>
      <c r="F227" s="11"/>
      <c r="G227" s="10"/>
      <c r="H227" s="11"/>
      <c r="I227" s="11"/>
      <c r="J227" s="11"/>
      <c r="K227" s="10"/>
      <c r="L227" s="9"/>
      <c r="M227" s="8"/>
      <c r="N227" s="146" t="s">
        <v>24</v>
      </c>
    </row>
    <row r="228" spans="2:14">
      <c r="B228" s="134">
        <v>46210</v>
      </c>
      <c r="C228" s="9"/>
      <c r="D228" s="11"/>
      <c r="E228" s="11"/>
      <c r="F228" s="11"/>
      <c r="G228" s="10"/>
      <c r="H228" s="11"/>
      <c r="I228" s="11"/>
      <c r="J228" s="11"/>
      <c r="K228" s="10"/>
      <c r="L228" s="9"/>
      <c r="M228" s="8"/>
      <c r="N228" s="146" t="s">
        <v>23</v>
      </c>
    </row>
    <row r="229" spans="2:14">
      <c r="B229" s="134">
        <v>46211</v>
      </c>
      <c r="C229" s="9"/>
      <c r="D229" s="11"/>
      <c r="E229" s="11"/>
      <c r="F229" s="11"/>
      <c r="G229" s="10"/>
      <c r="H229" s="11"/>
      <c r="I229" s="11"/>
      <c r="J229" s="11"/>
      <c r="K229" s="10"/>
      <c r="L229" s="9"/>
      <c r="M229" s="8"/>
      <c r="N229" s="146" t="s">
        <v>22</v>
      </c>
    </row>
    <row r="230" spans="2:14">
      <c r="B230" s="134">
        <v>46212</v>
      </c>
      <c r="C230" s="9"/>
      <c r="D230" s="11"/>
      <c r="E230" s="11"/>
      <c r="F230" s="11"/>
      <c r="G230" s="10"/>
      <c r="H230" s="11"/>
      <c r="I230" s="11"/>
      <c r="J230" s="11"/>
      <c r="K230" s="10"/>
      <c r="L230" s="9"/>
      <c r="M230" s="8"/>
      <c r="N230" s="146" t="s">
        <v>21</v>
      </c>
    </row>
    <row r="231" spans="2:14">
      <c r="B231" s="134">
        <v>46213</v>
      </c>
      <c r="C231" s="9"/>
      <c r="D231" s="11"/>
      <c r="E231" s="11"/>
      <c r="F231" s="11"/>
      <c r="G231" s="10"/>
      <c r="H231" s="11"/>
      <c r="I231" s="11"/>
      <c r="J231" s="11"/>
      <c r="K231" s="10"/>
      <c r="L231" s="9"/>
      <c r="M231" s="8"/>
      <c r="N231" s="146" t="s">
        <v>20</v>
      </c>
    </row>
    <row r="232" spans="2:14">
      <c r="B232" s="134">
        <v>46214</v>
      </c>
      <c r="C232" s="9"/>
      <c r="D232" s="11"/>
      <c r="E232" s="11"/>
      <c r="F232" s="11"/>
      <c r="G232" s="10"/>
      <c r="H232" s="11"/>
      <c r="I232" s="11"/>
      <c r="J232" s="11"/>
      <c r="K232" s="10"/>
      <c r="L232" s="9"/>
      <c r="M232" s="8"/>
      <c r="N232" s="146" t="s">
        <v>19</v>
      </c>
    </row>
    <row r="233" spans="2:14">
      <c r="B233" s="134">
        <v>46215</v>
      </c>
      <c r="C233" s="9"/>
      <c r="D233" s="11"/>
      <c r="E233" s="11"/>
      <c r="F233" s="11"/>
      <c r="G233" s="10"/>
      <c r="H233" s="11"/>
      <c r="I233" s="11"/>
      <c r="J233" s="11"/>
      <c r="K233" s="10"/>
      <c r="L233" s="9"/>
      <c r="M233" s="8"/>
      <c r="N233" s="146" t="s">
        <v>18</v>
      </c>
    </row>
    <row r="234" spans="2:14">
      <c r="B234" s="134">
        <v>46216</v>
      </c>
      <c r="C234" s="9"/>
      <c r="D234" s="11"/>
      <c r="E234" s="11"/>
      <c r="F234" s="11"/>
      <c r="G234" s="10"/>
      <c r="H234" s="11"/>
      <c r="I234" s="11"/>
      <c r="J234" s="11"/>
      <c r="K234" s="10"/>
      <c r="L234" s="9"/>
      <c r="M234" s="8"/>
      <c r="N234" s="146" t="s">
        <v>17</v>
      </c>
    </row>
    <row r="235" spans="2:14">
      <c r="B235" s="134">
        <v>46217</v>
      </c>
      <c r="C235" s="9"/>
      <c r="D235" s="11"/>
      <c r="E235" s="11"/>
      <c r="F235" s="11"/>
      <c r="G235" s="10"/>
      <c r="H235" s="11"/>
      <c r="I235" s="11"/>
      <c r="J235" s="11"/>
      <c r="K235" s="10"/>
      <c r="L235" s="9"/>
      <c r="M235" s="8"/>
      <c r="N235" s="146" t="s">
        <v>16</v>
      </c>
    </row>
    <row r="236" spans="2:14">
      <c r="B236" s="134">
        <v>46218</v>
      </c>
      <c r="C236" s="9"/>
      <c r="D236" s="11"/>
      <c r="E236" s="11"/>
      <c r="F236" s="11"/>
      <c r="G236" s="10"/>
      <c r="H236" s="11"/>
      <c r="I236" s="11"/>
      <c r="J236" s="11"/>
      <c r="K236" s="10"/>
      <c r="L236" s="9"/>
      <c r="M236" s="8"/>
      <c r="N236" s="146" t="s">
        <v>15</v>
      </c>
    </row>
    <row r="237" spans="2:14">
      <c r="B237" s="134">
        <v>46219</v>
      </c>
      <c r="C237" s="9"/>
      <c r="D237" s="11"/>
      <c r="E237" s="11"/>
      <c r="F237" s="11"/>
      <c r="G237" s="10"/>
      <c r="H237" s="11"/>
      <c r="I237" s="11"/>
      <c r="J237" s="11"/>
      <c r="K237" s="10"/>
      <c r="L237" s="9"/>
      <c r="M237" s="8"/>
      <c r="N237" s="146" t="s">
        <v>14</v>
      </c>
    </row>
    <row r="238" spans="2:14">
      <c r="B238" s="134">
        <v>46220</v>
      </c>
      <c r="C238" s="9"/>
      <c r="D238" s="11"/>
      <c r="E238" s="11"/>
      <c r="F238" s="11"/>
      <c r="G238" s="10"/>
      <c r="H238" s="11"/>
      <c r="I238" s="11"/>
      <c r="J238" s="11"/>
      <c r="K238" s="10"/>
      <c r="L238" s="9"/>
      <c r="M238" s="8"/>
      <c r="N238" s="146" t="s">
        <v>13</v>
      </c>
    </row>
    <row r="239" spans="2:14">
      <c r="B239" s="134">
        <v>46221</v>
      </c>
      <c r="C239" s="9"/>
      <c r="D239" s="11"/>
      <c r="E239" s="11"/>
      <c r="F239" s="11"/>
      <c r="G239" s="10"/>
      <c r="H239" s="11"/>
      <c r="I239" s="11"/>
      <c r="J239" s="11"/>
      <c r="K239" s="10"/>
      <c r="L239" s="9"/>
      <c r="M239" s="8"/>
      <c r="N239" s="146" t="s">
        <v>12</v>
      </c>
    </row>
    <row r="240" spans="2:14">
      <c r="B240" s="134">
        <v>46222</v>
      </c>
      <c r="C240" s="9"/>
      <c r="D240" s="11"/>
      <c r="E240" s="11"/>
      <c r="F240" s="11"/>
      <c r="G240" s="10"/>
      <c r="H240" s="11"/>
      <c r="I240" s="11"/>
      <c r="J240" s="11"/>
      <c r="K240" s="10"/>
      <c r="L240" s="9"/>
      <c r="M240" s="8"/>
      <c r="N240" s="146" t="s">
        <v>11</v>
      </c>
    </row>
    <row r="241" spans="2:14">
      <c r="B241" s="134">
        <v>46223</v>
      </c>
      <c r="C241" s="9"/>
      <c r="D241" s="11"/>
      <c r="E241" s="11"/>
      <c r="F241" s="11"/>
      <c r="G241" s="10"/>
      <c r="H241" s="11"/>
      <c r="I241" s="11"/>
      <c r="J241" s="11"/>
      <c r="K241" s="10"/>
      <c r="L241" s="9"/>
      <c r="M241" s="8"/>
      <c r="N241" s="146" t="s">
        <v>10</v>
      </c>
    </row>
    <row r="242" spans="2:14">
      <c r="B242" s="134">
        <v>46224</v>
      </c>
      <c r="C242" s="9"/>
      <c r="D242" s="11"/>
      <c r="E242" s="11"/>
      <c r="F242" s="11"/>
      <c r="G242" s="10"/>
      <c r="H242" s="11"/>
      <c r="I242" s="11"/>
      <c r="J242" s="11"/>
      <c r="K242" s="10"/>
      <c r="L242" s="9"/>
      <c r="M242" s="8"/>
      <c r="N242" s="146" t="s">
        <v>9</v>
      </c>
    </row>
    <row r="243" spans="2:14">
      <c r="B243" s="134">
        <v>46225</v>
      </c>
      <c r="C243" s="9"/>
      <c r="D243" s="11"/>
      <c r="E243" s="11"/>
      <c r="F243" s="11"/>
      <c r="G243" s="10"/>
      <c r="H243" s="11"/>
      <c r="I243" s="11"/>
      <c r="J243" s="11"/>
      <c r="K243" s="10"/>
      <c r="L243" s="9"/>
      <c r="M243" s="8"/>
      <c r="N243" s="146" t="s">
        <v>8</v>
      </c>
    </row>
    <row r="244" spans="2:14">
      <c r="B244" s="134">
        <v>46226</v>
      </c>
      <c r="C244" s="9"/>
      <c r="D244" s="11"/>
      <c r="E244" s="11"/>
      <c r="F244" s="11"/>
      <c r="G244" s="10"/>
      <c r="H244" s="11"/>
      <c r="I244" s="11"/>
      <c r="J244" s="11"/>
      <c r="K244" s="10"/>
      <c r="L244" s="9"/>
      <c r="M244" s="8"/>
      <c r="N244" s="146" t="s">
        <v>7</v>
      </c>
    </row>
    <row r="245" spans="2:14">
      <c r="B245" s="134">
        <v>46227</v>
      </c>
      <c r="C245" s="9"/>
      <c r="D245" s="11"/>
      <c r="E245" s="11"/>
      <c r="F245" s="11"/>
      <c r="G245" s="10"/>
      <c r="H245" s="11"/>
      <c r="I245" s="11"/>
      <c r="J245" s="11"/>
      <c r="K245" s="10"/>
      <c r="L245" s="9"/>
      <c r="M245" s="8"/>
      <c r="N245" s="146" t="s">
        <v>6</v>
      </c>
    </row>
    <row r="246" spans="2:14">
      <c r="B246" s="134">
        <v>46228</v>
      </c>
      <c r="C246" s="9"/>
      <c r="D246" s="11"/>
      <c r="E246" s="11"/>
      <c r="F246" s="11"/>
      <c r="G246" s="10"/>
      <c r="H246" s="11"/>
      <c r="I246" s="11"/>
      <c r="J246" s="11"/>
      <c r="K246" s="10"/>
      <c r="L246" s="9"/>
      <c r="M246" s="8"/>
      <c r="N246" s="146" t="s">
        <v>5</v>
      </c>
    </row>
    <row r="247" spans="2:14">
      <c r="B247" s="134">
        <v>46229</v>
      </c>
      <c r="C247" s="9"/>
      <c r="D247" s="11"/>
      <c r="E247" s="11"/>
      <c r="F247" s="11"/>
      <c r="G247" s="10"/>
      <c r="H247" s="11"/>
      <c r="I247" s="11"/>
      <c r="J247" s="11"/>
      <c r="K247" s="10"/>
      <c r="L247" s="9"/>
      <c r="M247" s="8"/>
      <c r="N247" s="146" t="s">
        <v>4</v>
      </c>
    </row>
    <row r="248" spans="2:14">
      <c r="B248" s="134">
        <v>46230</v>
      </c>
      <c r="C248" s="9"/>
      <c r="D248" s="11"/>
      <c r="E248" s="11"/>
      <c r="F248" s="11"/>
      <c r="G248" s="10"/>
      <c r="H248" s="11"/>
      <c r="I248" s="11"/>
      <c r="J248" s="11"/>
      <c r="K248" s="10"/>
      <c r="L248" s="9"/>
      <c r="M248" s="8"/>
      <c r="N248" s="146" t="s">
        <v>3</v>
      </c>
    </row>
    <row r="249" spans="2:14">
      <c r="B249" s="134">
        <v>46231</v>
      </c>
      <c r="C249" s="9"/>
      <c r="D249" s="11"/>
      <c r="E249" s="11"/>
      <c r="F249" s="11"/>
      <c r="G249" s="10"/>
      <c r="H249" s="11"/>
      <c r="I249" s="11"/>
      <c r="J249" s="11"/>
      <c r="K249" s="10"/>
      <c r="L249" s="9"/>
      <c r="M249" s="8"/>
      <c r="N249" s="146" t="s">
        <v>2</v>
      </c>
    </row>
    <row r="250" spans="2:14">
      <c r="B250" s="134">
        <v>46232</v>
      </c>
      <c r="C250" s="9"/>
      <c r="D250" s="11"/>
      <c r="E250" s="11"/>
      <c r="F250" s="11"/>
      <c r="G250" s="10"/>
      <c r="H250" s="11"/>
      <c r="I250" s="11"/>
      <c r="J250" s="11"/>
      <c r="K250" s="10"/>
      <c r="L250" s="9"/>
      <c r="M250" s="8"/>
      <c r="N250" s="146" t="s">
        <v>1</v>
      </c>
    </row>
    <row r="251" spans="2:14">
      <c r="B251" s="134">
        <v>46233</v>
      </c>
      <c r="C251" s="9"/>
      <c r="D251" s="11"/>
      <c r="E251" s="11"/>
      <c r="F251" s="11"/>
      <c r="G251" s="10"/>
      <c r="H251" s="11"/>
      <c r="I251" s="11"/>
      <c r="J251" s="11"/>
      <c r="K251" s="10"/>
      <c r="L251" s="9"/>
      <c r="M251" s="8"/>
      <c r="N251" s="146" t="s">
        <v>59</v>
      </c>
    </row>
    <row r="252" spans="2:14" ht="17.25" thickBot="1">
      <c r="B252" s="134">
        <v>46234</v>
      </c>
      <c r="C252" s="3"/>
      <c r="D252" s="5"/>
      <c r="E252" s="5"/>
      <c r="F252" s="5"/>
      <c r="G252" s="4"/>
      <c r="H252" s="5"/>
      <c r="I252" s="5"/>
      <c r="J252" s="5"/>
      <c r="K252" s="4"/>
      <c r="L252" s="3"/>
      <c r="M252" s="2"/>
      <c r="N252" s="147" t="s">
        <v>72</v>
      </c>
    </row>
    <row r="255" spans="2:14" ht="17.25" thickBot="1"/>
    <row r="256" spans="2:14" ht="21.75" thickBot="1">
      <c r="B256" s="217"/>
      <c r="C256" s="218" t="s">
        <v>137</v>
      </c>
      <c r="D256" s="219"/>
      <c r="E256" s="219"/>
      <c r="F256" s="219"/>
      <c r="G256" s="220"/>
      <c r="H256" s="221" t="s">
        <v>83</v>
      </c>
      <c r="I256" s="222"/>
      <c r="J256" s="222"/>
      <c r="K256" s="223"/>
      <c r="L256" s="221" t="s">
        <v>82</v>
      </c>
      <c r="M256" s="224"/>
      <c r="N256" s="225" t="s">
        <v>81</v>
      </c>
    </row>
    <row r="257" spans="2:14" ht="20.25" thickBot="1">
      <c r="B257" s="195"/>
      <c r="C257" s="43" t="s">
        <v>75</v>
      </c>
      <c r="D257" s="45" t="s">
        <v>74</v>
      </c>
      <c r="E257" s="45" t="s">
        <v>80</v>
      </c>
      <c r="F257" s="45" t="s">
        <v>79</v>
      </c>
      <c r="G257" s="46" t="s">
        <v>78</v>
      </c>
      <c r="H257" s="45" t="s">
        <v>151</v>
      </c>
      <c r="I257" s="45" t="s">
        <v>77</v>
      </c>
      <c r="J257" s="45" t="s">
        <v>150</v>
      </c>
      <c r="K257" s="44" t="s">
        <v>76</v>
      </c>
      <c r="L257" s="43" t="s">
        <v>75</v>
      </c>
      <c r="M257" s="42" t="s">
        <v>74</v>
      </c>
      <c r="N257" s="226"/>
    </row>
    <row r="258" spans="2:14" ht="21.75" thickBot="1">
      <c r="B258" s="23" t="s">
        <v>155</v>
      </c>
      <c r="C258" s="135">
        <f t="shared" ref="C258:M258" si="8">SUM(C259:C288)</f>
        <v>0</v>
      </c>
      <c r="D258" s="136">
        <f t="shared" si="8"/>
        <v>0</v>
      </c>
      <c r="E258" s="136">
        <f t="shared" si="8"/>
        <v>0</v>
      </c>
      <c r="F258" s="136">
        <f t="shared" si="8"/>
        <v>0</v>
      </c>
      <c r="G258" s="137">
        <f t="shared" si="8"/>
        <v>0</v>
      </c>
      <c r="H258" s="138">
        <f t="shared" si="8"/>
        <v>0</v>
      </c>
      <c r="I258" s="138">
        <f t="shared" si="8"/>
        <v>0</v>
      </c>
      <c r="J258" s="138">
        <f t="shared" si="8"/>
        <v>0</v>
      </c>
      <c r="K258" s="139">
        <f t="shared" si="8"/>
        <v>0</v>
      </c>
      <c r="L258" s="135">
        <f t="shared" si="8"/>
        <v>0</v>
      </c>
      <c r="M258" s="140">
        <f t="shared" si="8"/>
        <v>0</v>
      </c>
      <c r="N258" s="141"/>
    </row>
    <row r="259" spans="2:14">
      <c r="B259" s="149">
        <v>46235</v>
      </c>
      <c r="C259" s="142"/>
      <c r="D259" s="143"/>
      <c r="E259" s="143"/>
      <c r="F259" s="143"/>
      <c r="G259" s="144"/>
      <c r="H259" s="143"/>
      <c r="I259" s="143"/>
      <c r="J259" s="143"/>
      <c r="K259" s="144"/>
      <c r="L259" s="142"/>
      <c r="M259" s="148"/>
      <c r="N259" s="145" t="s">
        <v>29</v>
      </c>
    </row>
    <row r="260" spans="2:14">
      <c r="B260" s="134">
        <v>46236</v>
      </c>
      <c r="C260" s="9"/>
      <c r="D260" s="11"/>
      <c r="E260" s="11"/>
      <c r="F260" s="11"/>
      <c r="G260" s="10"/>
      <c r="H260" s="11"/>
      <c r="I260" s="11"/>
      <c r="J260" s="11"/>
      <c r="K260" s="10"/>
      <c r="L260" s="9"/>
      <c r="M260" s="8"/>
      <c r="N260" s="146" t="s">
        <v>28</v>
      </c>
    </row>
    <row r="261" spans="2:14">
      <c r="B261" s="134">
        <v>46237</v>
      </c>
      <c r="C261" s="9"/>
      <c r="D261" s="11"/>
      <c r="E261" s="11"/>
      <c r="F261" s="11"/>
      <c r="G261" s="10"/>
      <c r="H261" s="11"/>
      <c r="I261" s="11"/>
      <c r="J261" s="11"/>
      <c r="K261" s="10"/>
      <c r="L261" s="9"/>
      <c r="M261" s="8"/>
      <c r="N261" s="146" t="s">
        <v>27</v>
      </c>
    </row>
    <row r="262" spans="2:14">
      <c r="B262" s="134">
        <v>46238</v>
      </c>
      <c r="C262" s="9"/>
      <c r="D262" s="11"/>
      <c r="E262" s="11"/>
      <c r="F262" s="11"/>
      <c r="G262" s="10"/>
      <c r="H262" s="11"/>
      <c r="I262" s="11"/>
      <c r="J262" s="11"/>
      <c r="K262" s="10"/>
      <c r="L262" s="9"/>
      <c r="M262" s="8"/>
      <c r="N262" s="146" t="s">
        <v>26</v>
      </c>
    </row>
    <row r="263" spans="2:14">
      <c r="B263" s="134">
        <v>46239</v>
      </c>
      <c r="C263" s="9"/>
      <c r="D263" s="11"/>
      <c r="E263" s="11"/>
      <c r="F263" s="11"/>
      <c r="G263" s="10"/>
      <c r="H263" s="11"/>
      <c r="I263" s="11"/>
      <c r="J263" s="11"/>
      <c r="K263" s="10"/>
      <c r="L263" s="9"/>
      <c r="M263" s="8"/>
      <c r="N263" s="146" t="s">
        <v>25</v>
      </c>
    </row>
    <row r="264" spans="2:14">
      <c r="B264" s="134">
        <v>46240</v>
      </c>
      <c r="C264" s="9"/>
      <c r="D264" s="11"/>
      <c r="E264" s="11"/>
      <c r="F264" s="11"/>
      <c r="G264" s="10"/>
      <c r="H264" s="11"/>
      <c r="I264" s="11"/>
      <c r="J264" s="11"/>
      <c r="K264" s="10"/>
      <c r="L264" s="9"/>
      <c r="M264" s="8"/>
      <c r="N264" s="146" t="s">
        <v>24</v>
      </c>
    </row>
    <row r="265" spans="2:14">
      <c r="B265" s="134">
        <v>46241</v>
      </c>
      <c r="C265" s="9"/>
      <c r="D265" s="11"/>
      <c r="E265" s="11"/>
      <c r="F265" s="11"/>
      <c r="G265" s="10"/>
      <c r="H265" s="11"/>
      <c r="I265" s="11"/>
      <c r="J265" s="11"/>
      <c r="K265" s="10"/>
      <c r="L265" s="9"/>
      <c r="M265" s="8"/>
      <c r="N265" s="146" t="s">
        <v>23</v>
      </c>
    </row>
    <row r="266" spans="2:14">
      <c r="B266" s="134">
        <v>46242</v>
      </c>
      <c r="C266" s="9"/>
      <c r="D266" s="11"/>
      <c r="E266" s="11"/>
      <c r="F266" s="11"/>
      <c r="G266" s="10"/>
      <c r="H266" s="11"/>
      <c r="I266" s="11"/>
      <c r="J266" s="11"/>
      <c r="K266" s="10"/>
      <c r="L266" s="9"/>
      <c r="M266" s="8"/>
      <c r="N266" s="146" t="s">
        <v>22</v>
      </c>
    </row>
    <row r="267" spans="2:14">
      <c r="B267" s="134">
        <v>46243</v>
      </c>
      <c r="C267" s="9"/>
      <c r="D267" s="11"/>
      <c r="E267" s="11"/>
      <c r="F267" s="11"/>
      <c r="G267" s="10"/>
      <c r="H267" s="11"/>
      <c r="I267" s="11"/>
      <c r="J267" s="11"/>
      <c r="K267" s="10"/>
      <c r="L267" s="9"/>
      <c r="M267" s="8"/>
      <c r="N267" s="146" t="s">
        <v>21</v>
      </c>
    </row>
    <row r="268" spans="2:14">
      <c r="B268" s="134">
        <v>46244</v>
      </c>
      <c r="C268" s="9"/>
      <c r="D268" s="11"/>
      <c r="E268" s="11"/>
      <c r="F268" s="11"/>
      <c r="G268" s="10"/>
      <c r="H268" s="11"/>
      <c r="I268" s="11"/>
      <c r="J268" s="11"/>
      <c r="K268" s="10"/>
      <c r="L268" s="9"/>
      <c r="M268" s="8"/>
      <c r="N268" s="146" t="s">
        <v>20</v>
      </c>
    </row>
    <row r="269" spans="2:14">
      <c r="B269" s="134">
        <v>46245</v>
      </c>
      <c r="C269" s="9"/>
      <c r="D269" s="11"/>
      <c r="E269" s="11"/>
      <c r="F269" s="11"/>
      <c r="G269" s="10"/>
      <c r="H269" s="11"/>
      <c r="I269" s="11"/>
      <c r="J269" s="11"/>
      <c r="K269" s="10"/>
      <c r="L269" s="9"/>
      <c r="M269" s="8"/>
      <c r="N269" s="146" t="s">
        <v>19</v>
      </c>
    </row>
    <row r="270" spans="2:14">
      <c r="B270" s="134">
        <v>46246</v>
      </c>
      <c r="C270" s="9"/>
      <c r="D270" s="11"/>
      <c r="E270" s="11"/>
      <c r="F270" s="11"/>
      <c r="G270" s="10"/>
      <c r="H270" s="11"/>
      <c r="I270" s="11"/>
      <c r="J270" s="11"/>
      <c r="K270" s="10"/>
      <c r="L270" s="9"/>
      <c r="M270" s="8"/>
      <c r="N270" s="146" t="s">
        <v>18</v>
      </c>
    </row>
    <row r="271" spans="2:14">
      <c r="B271" s="134">
        <v>46247</v>
      </c>
      <c r="C271" s="9"/>
      <c r="D271" s="11"/>
      <c r="E271" s="11"/>
      <c r="F271" s="11"/>
      <c r="G271" s="10"/>
      <c r="H271" s="11"/>
      <c r="I271" s="11"/>
      <c r="J271" s="11"/>
      <c r="K271" s="10"/>
      <c r="L271" s="9"/>
      <c r="M271" s="8"/>
      <c r="N271" s="146" t="s">
        <v>17</v>
      </c>
    </row>
    <row r="272" spans="2:14">
      <c r="B272" s="134">
        <v>46248</v>
      </c>
      <c r="C272" s="9"/>
      <c r="D272" s="11"/>
      <c r="E272" s="11"/>
      <c r="F272" s="11"/>
      <c r="G272" s="10"/>
      <c r="H272" s="11"/>
      <c r="I272" s="11"/>
      <c r="J272" s="11"/>
      <c r="K272" s="10"/>
      <c r="L272" s="9"/>
      <c r="M272" s="8"/>
      <c r="N272" s="146" t="s">
        <v>16</v>
      </c>
    </row>
    <row r="273" spans="2:14">
      <c r="B273" s="134">
        <v>46249</v>
      </c>
      <c r="C273" s="9"/>
      <c r="D273" s="11"/>
      <c r="E273" s="11"/>
      <c r="F273" s="11"/>
      <c r="G273" s="10"/>
      <c r="H273" s="11"/>
      <c r="I273" s="11"/>
      <c r="J273" s="11"/>
      <c r="K273" s="10"/>
      <c r="L273" s="9"/>
      <c r="M273" s="8"/>
      <c r="N273" s="146" t="s">
        <v>15</v>
      </c>
    </row>
    <row r="274" spans="2:14">
      <c r="B274" s="134">
        <v>46250</v>
      </c>
      <c r="C274" s="9"/>
      <c r="D274" s="11"/>
      <c r="E274" s="11"/>
      <c r="F274" s="11"/>
      <c r="G274" s="10"/>
      <c r="H274" s="11"/>
      <c r="I274" s="11"/>
      <c r="J274" s="11"/>
      <c r="K274" s="10"/>
      <c r="L274" s="9"/>
      <c r="M274" s="8"/>
      <c r="N274" s="146" t="s">
        <v>14</v>
      </c>
    </row>
    <row r="275" spans="2:14">
      <c r="B275" s="134">
        <v>46251</v>
      </c>
      <c r="C275" s="9"/>
      <c r="D275" s="11"/>
      <c r="E275" s="11"/>
      <c r="F275" s="11"/>
      <c r="G275" s="10"/>
      <c r="H275" s="11"/>
      <c r="I275" s="11"/>
      <c r="J275" s="11"/>
      <c r="K275" s="10"/>
      <c r="L275" s="9"/>
      <c r="M275" s="8"/>
      <c r="N275" s="146" t="s">
        <v>13</v>
      </c>
    </row>
    <row r="276" spans="2:14">
      <c r="B276" s="134">
        <v>46252</v>
      </c>
      <c r="C276" s="9"/>
      <c r="D276" s="11"/>
      <c r="E276" s="11"/>
      <c r="F276" s="11"/>
      <c r="G276" s="10"/>
      <c r="H276" s="11"/>
      <c r="I276" s="11"/>
      <c r="J276" s="11"/>
      <c r="K276" s="10"/>
      <c r="L276" s="9"/>
      <c r="M276" s="8"/>
      <c r="N276" s="146" t="s">
        <v>12</v>
      </c>
    </row>
    <row r="277" spans="2:14">
      <c r="B277" s="134">
        <v>46253</v>
      </c>
      <c r="C277" s="9"/>
      <c r="D277" s="11"/>
      <c r="E277" s="11"/>
      <c r="F277" s="11"/>
      <c r="G277" s="10"/>
      <c r="H277" s="11"/>
      <c r="I277" s="11"/>
      <c r="J277" s="11"/>
      <c r="K277" s="10"/>
      <c r="L277" s="9"/>
      <c r="M277" s="8"/>
      <c r="N277" s="146" t="s">
        <v>11</v>
      </c>
    </row>
    <row r="278" spans="2:14">
      <c r="B278" s="134">
        <v>46254</v>
      </c>
      <c r="C278" s="9"/>
      <c r="D278" s="11"/>
      <c r="E278" s="11"/>
      <c r="F278" s="11"/>
      <c r="G278" s="10"/>
      <c r="H278" s="11"/>
      <c r="I278" s="11"/>
      <c r="J278" s="11"/>
      <c r="K278" s="10"/>
      <c r="L278" s="9"/>
      <c r="M278" s="8"/>
      <c r="N278" s="146" t="s">
        <v>10</v>
      </c>
    </row>
    <row r="279" spans="2:14">
      <c r="B279" s="134">
        <v>46255</v>
      </c>
      <c r="C279" s="9"/>
      <c r="D279" s="11"/>
      <c r="E279" s="11"/>
      <c r="F279" s="11"/>
      <c r="G279" s="10"/>
      <c r="H279" s="11"/>
      <c r="I279" s="11"/>
      <c r="J279" s="11"/>
      <c r="K279" s="10"/>
      <c r="L279" s="9"/>
      <c r="M279" s="8"/>
      <c r="N279" s="146" t="s">
        <v>9</v>
      </c>
    </row>
    <row r="280" spans="2:14">
      <c r="B280" s="134">
        <v>46256</v>
      </c>
      <c r="C280" s="9"/>
      <c r="D280" s="11"/>
      <c r="E280" s="11"/>
      <c r="F280" s="11"/>
      <c r="G280" s="10"/>
      <c r="H280" s="11"/>
      <c r="I280" s="11"/>
      <c r="J280" s="11"/>
      <c r="K280" s="10"/>
      <c r="L280" s="9"/>
      <c r="M280" s="8"/>
      <c r="N280" s="146" t="s">
        <v>8</v>
      </c>
    </row>
    <row r="281" spans="2:14">
      <c r="B281" s="134">
        <v>46257</v>
      </c>
      <c r="C281" s="9"/>
      <c r="D281" s="11"/>
      <c r="E281" s="11"/>
      <c r="F281" s="11"/>
      <c r="G281" s="10"/>
      <c r="H281" s="11"/>
      <c r="I281" s="11"/>
      <c r="J281" s="11"/>
      <c r="K281" s="10"/>
      <c r="L281" s="9"/>
      <c r="M281" s="8"/>
      <c r="N281" s="146" t="s">
        <v>7</v>
      </c>
    </row>
    <row r="282" spans="2:14">
      <c r="B282" s="134">
        <v>46258</v>
      </c>
      <c r="C282" s="9"/>
      <c r="D282" s="11"/>
      <c r="E282" s="11"/>
      <c r="F282" s="11"/>
      <c r="G282" s="10"/>
      <c r="H282" s="11"/>
      <c r="I282" s="11"/>
      <c r="J282" s="11"/>
      <c r="K282" s="10"/>
      <c r="L282" s="9"/>
      <c r="M282" s="8"/>
      <c r="N282" s="146" t="s">
        <v>6</v>
      </c>
    </row>
    <row r="283" spans="2:14">
      <c r="B283" s="134">
        <v>46259</v>
      </c>
      <c r="C283" s="9"/>
      <c r="D283" s="11"/>
      <c r="E283" s="11"/>
      <c r="F283" s="11"/>
      <c r="G283" s="10"/>
      <c r="H283" s="11"/>
      <c r="I283" s="11"/>
      <c r="J283" s="11"/>
      <c r="K283" s="10"/>
      <c r="L283" s="9"/>
      <c r="M283" s="8"/>
      <c r="N283" s="146" t="s">
        <v>5</v>
      </c>
    </row>
    <row r="284" spans="2:14">
      <c r="B284" s="134">
        <v>46260</v>
      </c>
      <c r="C284" s="9"/>
      <c r="D284" s="11"/>
      <c r="E284" s="11"/>
      <c r="F284" s="11"/>
      <c r="G284" s="10"/>
      <c r="H284" s="11"/>
      <c r="I284" s="11"/>
      <c r="J284" s="11"/>
      <c r="K284" s="10"/>
      <c r="L284" s="9"/>
      <c r="M284" s="8"/>
      <c r="N284" s="146" t="s">
        <v>4</v>
      </c>
    </row>
    <row r="285" spans="2:14">
      <c r="B285" s="134">
        <v>46261</v>
      </c>
      <c r="C285" s="9"/>
      <c r="D285" s="11"/>
      <c r="E285" s="11"/>
      <c r="F285" s="11"/>
      <c r="G285" s="10"/>
      <c r="H285" s="11"/>
      <c r="I285" s="11"/>
      <c r="J285" s="11"/>
      <c r="K285" s="10"/>
      <c r="L285" s="9"/>
      <c r="M285" s="8"/>
      <c r="N285" s="146" t="s">
        <v>3</v>
      </c>
    </row>
    <row r="286" spans="2:14">
      <c r="B286" s="134">
        <v>46262</v>
      </c>
      <c r="C286" s="9"/>
      <c r="D286" s="11"/>
      <c r="E286" s="11"/>
      <c r="F286" s="11"/>
      <c r="G286" s="10"/>
      <c r="H286" s="11"/>
      <c r="I286" s="11"/>
      <c r="J286" s="11"/>
      <c r="K286" s="10"/>
      <c r="L286" s="9"/>
      <c r="M286" s="8"/>
      <c r="N286" s="146" t="s">
        <v>2</v>
      </c>
    </row>
    <row r="287" spans="2:14">
      <c r="B287" s="134">
        <v>46263</v>
      </c>
      <c r="C287" s="9"/>
      <c r="D287" s="11"/>
      <c r="E287" s="11"/>
      <c r="F287" s="11"/>
      <c r="G287" s="10"/>
      <c r="H287" s="11"/>
      <c r="I287" s="11"/>
      <c r="J287" s="11"/>
      <c r="K287" s="10"/>
      <c r="L287" s="9"/>
      <c r="M287" s="8"/>
      <c r="N287" s="146" t="s">
        <v>1</v>
      </c>
    </row>
    <row r="288" spans="2:14">
      <c r="B288" s="134">
        <v>46264</v>
      </c>
      <c r="C288" s="9"/>
      <c r="D288" s="11"/>
      <c r="E288" s="11"/>
      <c r="F288" s="11"/>
      <c r="G288" s="10"/>
      <c r="H288" s="11"/>
      <c r="I288" s="11"/>
      <c r="J288" s="11"/>
      <c r="K288" s="10"/>
      <c r="L288" s="9"/>
      <c r="M288" s="8"/>
      <c r="N288" s="146" t="s">
        <v>59</v>
      </c>
    </row>
    <row r="289" spans="2:14" ht="17.25" thickBot="1">
      <c r="B289" s="150">
        <v>46265</v>
      </c>
      <c r="C289" s="3"/>
      <c r="D289" s="5"/>
      <c r="E289" s="5"/>
      <c r="F289" s="5"/>
      <c r="G289" s="4"/>
      <c r="H289" s="5"/>
      <c r="I289" s="5"/>
      <c r="J289" s="5"/>
      <c r="K289" s="4"/>
      <c r="L289" s="3"/>
      <c r="M289" s="2"/>
      <c r="N289" s="147" t="s">
        <v>72</v>
      </c>
    </row>
    <row r="290" spans="2:14" ht="17.25" thickBot="1"/>
    <row r="291" spans="2:14" ht="21.75" thickBot="1">
      <c r="B291" s="217"/>
      <c r="C291" s="218" t="s">
        <v>137</v>
      </c>
      <c r="D291" s="219"/>
      <c r="E291" s="219"/>
      <c r="F291" s="219"/>
      <c r="G291" s="220"/>
      <c r="H291" s="221" t="s">
        <v>83</v>
      </c>
      <c r="I291" s="222"/>
      <c r="J291" s="222"/>
      <c r="K291" s="223"/>
      <c r="L291" s="221" t="s">
        <v>82</v>
      </c>
      <c r="M291" s="224"/>
      <c r="N291" s="225" t="s">
        <v>81</v>
      </c>
    </row>
    <row r="292" spans="2:14" ht="20.25" thickBot="1">
      <c r="B292" s="195"/>
      <c r="C292" s="43" t="s">
        <v>75</v>
      </c>
      <c r="D292" s="45" t="s">
        <v>74</v>
      </c>
      <c r="E292" s="45" t="s">
        <v>80</v>
      </c>
      <c r="F292" s="45" t="s">
        <v>79</v>
      </c>
      <c r="G292" s="46" t="s">
        <v>78</v>
      </c>
      <c r="H292" s="45" t="s">
        <v>151</v>
      </c>
      <c r="I292" s="45" t="s">
        <v>77</v>
      </c>
      <c r="J292" s="45" t="s">
        <v>150</v>
      </c>
      <c r="K292" s="44" t="s">
        <v>76</v>
      </c>
      <c r="L292" s="43" t="s">
        <v>75</v>
      </c>
      <c r="M292" s="42" t="s">
        <v>74</v>
      </c>
      <c r="N292" s="226"/>
    </row>
    <row r="293" spans="2:14" ht="21.75" thickBot="1">
      <c r="B293" s="23" t="s">
        <v>157</v>
      </c>
      <c r="C293" s="135">
        <f t="shared" ref="C293:M293" si="9">SUM(C294:C323)</f>
        <v>0</v>
      </c>
      <c r="D293" s="136">
        <f t="shared" si="9"/>
        <v>0</v>
      </c>
      <c r="E293" s="136">
        <f t="shared" si="9"/>
        <v>0</v>
      </c>
      <c r="F293" s="136">
        <f t="shared" si="9"/>
        <v>0</v>
      </c>
      <c r="G293" s="137">
        <f t="shared" si="9"/>
        <v>0</v>
      </c>
      <c r="H293" s="138">
        <f t="shared" si="9"/>
        <v>0</v>
      </c>
      <c r="I293" s="138">
        <f t="shared" si="9"/>
        <v>0</v>
      </c>
      <c r="J293" s="138">
        <f t="shared" si="9"/>
        <v>0</v>
      </c>
      <c r="K293" s="139">
        <f t="shared" si="9"/>
        <v>0</v>
      </c>
      <c r="L293" s="135">
        <f t="shared" si="9"/>
        <v>0</v>
      </c>
      <c r="M293" s="140">
        <f t="shared" si="9"/>
        <v>0</v>
      </c>
      <c r="N293" s="141"/>
    </row>
    <row r="294" spans="2:14">
      <c r="B294" s="12">
        <v>46266</v>
      </c>
      <c r="C294" s="142"/>
      <c r="D294" s="143"/>
      <c r="E294" s="143"/>
      <c r="F294" s="143"/>
      <c r="G294" s="144"/>
      <c r="H294" s="143"/>
      <c r="I294" s="143"/>
      <c r="J294" s="143"/>
      <c r="K294" s="144"/>
      <c r="L294" s="142"/>
      <c r="M294" s="148"/>
      <c r="N294" s="145" t="s">
        <v>29</v>
      </c>
    </row>
    <row r="295" spans="2:14">
      <c r="B295" s="12">
        <v>46267</v>
      </c>
      <c r="C295" s="9"/>
      <c r="D295" s="11"/>
      <c r="E295" s="11"/>
      <c r="F295" s="11"/>
      <c r="G295" s="10"/>
      <c r="H295" s="11"/>
      <c r="I295" s="11"/>
      <c r="J295" s="11"/>
      <c r="K295" s="10"/>
      <c r="L295" s="9"/>
      <c r="M295" s="8"/>
      <c r="N295" s="146" t="s">
        <v>28</v>
      </c>
    </row>
    <row r="296" spans="2:14">
      <c r="B296" s="12">
        <v>46268</v>
      </c>
      <c r="C296" s="9"/>
      <c r="D296" s="11"/>
      <c r="E296" s="11"/>
      <c r="F296" s="11"/>
      <c r="G296" s="10"/>
      <c r="H296" s="11"/>
      <c r="I296" s="11"/>
      <c r="J296" s="11"/>
      <c r="K296" s="10"/>
      <c r="L296" s="9"/>
      <c r="M296" s="8"/>
      <c r="N296" s="146" t="s">
        <v>27</v>
      </c>
    </row>
    <row r="297" spans="2:14">
      <c r="B297" s="12">
        <v>46269</v>
      </c>
      <c r="C297" s="9"/>
      <c r="D297" s="11"/>
      <c r="E297" s="11"/>
      <c r="F297" s="11"/>
      <c r="G297" s="10"/>
      <c r="H297" s="11"/>
      <c r="I297" s="11"/>
      <c r="J297" s="11"/>
      <c r="K297" s="10"/>
      <c r="L297" s="9"/>
      <c r="M297" s="8"/>
      <c r="N297" s="146" t="s">
        <v>26</v>
      </c>
    </row>
    <row r="298" spans="2:14">
      <c r="B298" s="12">
        <v>46270</v>
      </c>
      <c r="C298" s="9"/>
      <c r="D298" s="11"/>
      <c r="E298" s="11"/>
      <c r="F298" s="11"/>
      <c r="G298" s="10"/>
      <c r="H298" s="11"/>
      <c r="I298" s="11"/>
      <c r="J298" s="11"/>
      <c r="K298" s="10"/>
      <c r="L298" s="9"/>
      <c r="M298" s="8"/>
      <c r="N298" s="146" t="s">
        <v>25</v>
      </c>
    </row>
    <row r="299" spans="2:14">
      <c r="B299" s="12">
        <v>46271</v>
      </c>
      <c r="C299" s="9"/>
      <c r="D299" s="11"/>
      <c r="E299" s="11"/>
      <c r="F299" s="11"/>
      <c r="G299" s="10"/>
      <c r="H299" s="11"/>
      <c r="I299" s="11"/>
      <c r="J299" s="11"/>
      <c r="K299" s="10"/>
      <c r="L299" s="9"/>
      <c r="M299" s="8"/>
      <c r="N299" s="146" t="s">
        <v>24</v>
      </c>
    </row>
    <row r="300" spans="2:14">
      <c r="B300" s="12">
        <v>46272</v>
      </c>
      <c r="C300" s="9"/>
      <c r="D300" s="11"/>
      <c r="E300" s="11"/>
      <c r="F300" s="11"/>
      <c r="G300" s="10"/>
      <c r="H300" s="11"/>
      <c r="I300" s="11"/>
      <c r="J300" s="11"/>
      <c r="K300" s="10"/>
      <c r="L300" s="9"/>
      <c r="M300" s="8"/>
      <c r="N300" s="146" t="s">
        <v>23</v>
      </c>
    </row>
    <row r="301" spans="2:14">
      <c r="B301" s="12">
        <v>46273</v>
      </c>
      <c r="C301" s="9"/>
      <c r="D301" s="11"/>
      <c r="E301" s="11"/>
      <c r="F301" s="11"/>
      <c r="G301" s="10"/>
      <c r="H301" s="11"/>
      <c r="I301" s="11"/>
      <c r="J301" s="11"/>
      <c r="K301" s="10"/>
      <c r="L301" s="9"/>
      <c r="M301" s="8"/>
      <c r="N301" s="146" t="s">
        <v>22</v>
      </c>
    </row>
    <row r="302" spans="2:14">
      <c r="B302" s="12">
        <v>46274</v>
      </c>
      <c r="C302" s="9"/>
      <c r="D302" s="11"/>
      <c r="E302" s="11"/>
      <c r="F302" s="11"/>
      <c r="G302" s="10"/>
      <c r="H302" s="11"/>
      <c r="I302" s="11"/>
      <c r="J302" s="11"/>
      <c r="K302" s="10"/>
      <c r="L302" s="9"/>
      <c r="M302" s="8"/>
      <c r="N302" s="146" t="s">
        <v>21</v>
      </c>
    </row>
    <row r="303" spans="2:14">
      <c r="B303" s="12">
        <v>46275</v>
      </c>
      <c r="C303" s="9"/>
      <c r="D303" s="11"/>
      <c r="E303" s="11"/>
      <c r="F303" s="11"/>
      <c r="G303" s="10"/>
      <c r="H303" s="11"/>
      <c r="I303" s="11"/>
      <c r="J303" s="11"/>
      <c r="K303" s="10"/>
      <c r="L303" s="9"/>
      <c r="M303" s="8"/>
      <c r="N303" s="146" t="s">
        <v>20</v>
      </c>
    </row>
    <row r="304" spans="2:14">
      <c r="B304" s="12">
        <v>46276</v>
      </c>
      <c r="C304" s="9"/>
      <c r="D304" s="11"/>
      <c r="E304" s="11"/>
      <c r="F304" s="11"/>
      <c r="G304" s="10"/>
      <c r="H304" s="11"/>
      <c r="I304" s="11"/>
      <c r="J304" s="11"/>
      <c r="K304" s="10"/>
      <c r="L304" s="9"/>
      <c r="M304" s="8"/>
      <c r="N304" s="146" t="s">
        <v>19</v>
      </c>
    </row>
    <row r="305" spans="2:14">
      <c r="B305" s="12">
        <v>46277</v>
      </c>
      <c r="C305" s="9"/>
      <c r="D305" s="11"/>
      <c r="E305" s="11"/>
      <c r="F305" s="11"/>
      <c r="G305" s="10"/>
      <c r="H305" s="11"/>
      <c r="I305" s="11"/>
      <c r="J305" s="11"/>
      <c r="K305" s="10"/>
      <c r="L305" s="9"/>
      <c r="M305" s="8"/>
      <c r="N305" s="146" t="s">
        <v>18</v>
      </c>
    </row>
    <row r="306" spans="2:14">
      <c r="B306" s="12">
        <v>46278</v>
      </c>
      <c r="C306" s="9"/>
      <c r="D306" s="11"/>
      <c r="E306" s="11"/>
      <c r="F306" s="11"/>
      <c r="G306" s="10"/>
      <c r="H306" s="11"/>
      <c r="I306" s="11"/>
      <c r="J306" s="11"/>
      <c r="K306" s="10"/>
      <c r="L306" s="9"/>
      <c r="M306" s="8"/>
      <c r="N306" s="146" t="s">
        <v>17</v>
      </c>
    </row>
    <row r="307" spans="2:14">
      <c r="B307" s="12">
        <v>46279</v>
      </c>
      <c r="C307" s="9"/>
      <c r="D307" s="11"/>
      <c r="E307" s="11"/>
      <c r="F307" s="11"/>
      <c r="G307" s="10"/>
      <c r="H307" s="11"/>
      <c r="I307" s="11"/>
      <c r="J307" s="11"/>
      <c r="K307" s="10"/>
      <c r="L307" s="9"/>
      <c r="M307" s="8"/>
      <c r="N307" s="146" t="s">
        <v>16</v>
      </c>
    </row>
    <row r="308" spans="2:14">
      <c r="B308" s="12">
        <v>46280</v>
      </c>
      <c r="C308" s="9"/>
      <c r="D308" s="11"/>
      <c r="E308" s="11"/>
      <c r="F308" s="11"/>
      <c r="G308" s="10"/>
      <c r="H308" s="11"/>
      <c r="I308" s="11"/>
      <c r="J308" s="11"/>
      <c r="K308" s="10"/>
      <c r="L308" s="9"/>
      <c r="M308" s="8"/>
      <c r="N308" s="146" t="s">
        <v>15</v>
      </c>
    </row>
    <row r="309" spans="2:14">
      <c r="B309" s="12">
        <v>46281</v>
      </c>
      <c r="C309" s="9"/>
      <c r="D309" s="11"/>
      <c r="E309" s="11"/>
      <c r="F309" s="11"/>
      <c r="G309" s="10"/>
      <c r="H309" s="11"/>
      <c r="I309" s="11"/>
      <c r="J309" s="11"/>
      <c r="K309" s="10"/>
      <c r="L309" s="9"/>
      <c r="M309" s="8"/>
      <c r="N309" s="146" t="s">
        <v>14</v>
      </c>
    </row>
    <row r="310" spans="2:14">
      <c r="B310" s="12">
        <v>46282</v>
      </c>
      <c r="C310" s="9"/>
      <c r="D310" s="11"/>
      <c r="E310" s="11"/>
      <c r="F310" s="11"/>
      <c r="G310" s="10"/>
      <c r="H310" s="11"/>
      <c r="I310" s="11"/>
      <c r="J310" s="11"/>
      <c r="K310" s="10"/>
      <c r="L310" s="9"/>
      <c r="M310" s="8"/>
      <c r="N310" s="146" t="s">
        <v>13</v>
      </c>
    </row>
    <row r="311" spans="2:14">
      <c r="B311" s="12">
        <v>46283</v>
      </c>
      <c r="C311" s="9"/>
      <c r="D311" s="11"/>
      <c r="E311" s="11"/>
      <c r="F311" s="11"/>
      <c r="G311" s="10"/>
      <c r="H311" s="11"/>
      <c r="I311" s="11"/>
      <c r="J311" s="11"/>
      <c r="K311" s="10"/>
      <c r="L311" s="9"/>
      <c r="M311" s="8"/>
      <c r="N311" s="146" t="s">
        <v>12</v>
      </c>
    </row>
    <row r="312" spans="2:14">
      <c r="B312" s="12">
        <v>46284</v>
      </c>
      <c r="C312" s="9"/>
      <c r="D312" s="11"/>
      <c r="E312" s="11"/>
      <c r="F312" s="11"/>
      <c r="G312" s="10"/>
      <c r="H312" s="11"/>
      <c r="I312" s="11"/>
      <c r="J312" s="11"/>
      <c r="K312" s="10"/>
      <c r="L312" s="9"/>
      <c r="M312" s="8"/>
      <c r="N312" s="146" t="s">
        <v>11</v>
      </c>
    </row>
    <row r="313" spans="2:14">
      <c r="B313" s="12">
        <v>46285</v>
      </c>
      <c r="C313" s="9"/>
      <c r="D313" s="11"/>
      <c r="E313" s="11"/>
      <c r="F313" s="11"/>
      <c r="G313" s="10"/>
      <c r="H313" s="11"/>
      <c r="I313" s="11"/>
      <c r="J313" s="11"/>
      <c r="K313" s="10"/>
      <c r="L313" s="9"/>
      <c r="M313" s="8"/>
      <c r="N313" s="146" t="s">
        <v>10</v>
      </c>
    </row>
    <row r="314" spans="2:14">
      <c r="B314" s="12">
        <v>46286</v>
      </c>
      <c r="C314" s="9"/>
      <c r="D314" s="11"/>
      <c r="E314" s="11"/>
      <c r="F314" s="11"/>
      <c r="G314" s="10"/>
      <c r="H314" s="11"/>
      <c r="I314" s="11"/>
      <c r="J314" s="11"/>
      <c r="K314" s="10"/>
      <c r="L314" s="9"/>
      <c r="M314" s="8"/>
      <c r="N314" s="146" t="s">
        <v>9</v>
      </c>
    </row>
    <row r="315" spans="2:14">
      <c r="B315" s="12">
        <v>46287</v>
      </c>
      <c r="C315" s="9"/>
      <c r="D315" s="11"/>
      <c r="E315" s="11"/>
      <c r="F315" s="11"/>
      <c r="G315" s="10"/>
      <c r="H315" s="11"/>
      <c r="I315" s="11"/>
      <c r="J315" s="11"/>
      <c r="K315" s="10"/>
      <c r="L315" s="9"/>
      <c r="M315" s="8"/>
      <c r="N315" s="146" t="s">
        <v>8</v>
      </c>
    </row>
    <row r="316" spans="2:14">
      <c r="B316" s="12">
        <v>46288</v>
      </c>
      <c r="C316" s="9"/>
      <c r="D316" s="11"/>
      <c r="E316" s="11"/>
      <c r="F316" s="11"/>
      <c r="G316" s="10"/>
      <c r="H316" s="11"/>
      <c r="I316" s="11"/>
      <c r="J316" s="11"/>
      <c r="K316" s="10"/>
      <c r="L316" s="9"/>
      <c r="M316" s="8"/>
      <c r="N316" s="146" t="s">
        <v>7</v>
      </c>
    </row>
    <row r="317" spans="2:14">
      <c r="B317" s="12">
        <v>46289</v>
      </c>
      <c r="C317" s="9"/>
      <c r="D317" s="11"/>
      <c r="E317" s="11"/>
      <c r="F317" s="11"/>
      <c r="G317" s="10"/>
      <c r="H317" s="11"/>
      <c r="I317" s="11"/>
      <c r="J317" s="11"/>
      <c r="K317" s="10"/>
      <c r="L317" s="9"/>
      <c r="M317" s="8"/>
      <c r="N317" s="146" t="s">
        <v>6</v>
      </c>
    </row>
    <row r="318" spans="2:14">
      <c r="B318" s="12">
        <v>46290</v>
      </c>
      <c r="C318" s="9"/>
      <c r="D318" s="11"/>
      <c r="E318" s="11"/>
      <c r="F318" s="11"/>
      <c r="G318" s="10"/>
      <c r="H318" s="11"/>
      <c r="I318" s="11"/>
      <c r="J318" s="11"/>
      <c r="K318" s="10"/>
      <c r="L318" s="9"/>
      <c r="M318" s="8"/>
      <c r="N318" s="146" t="s">
        <v>5</v>
      </c>
    </row>
    <row r="319" spans="2:14">
      <c r="B319" s="12">
        <v>46291</v>
      </c>
      <c r="C319" s="9"/>
      <c r="D319" s="11"/>
      <c r="E319" s="11"/>
      <c r="F319" s="11"/>
      <c r="G319" s="10"/>
      <c r="H319" s="11"/>
      <c r="I319" s="11"/>
      <c r="J319" s="11"/>
      <c r="K319" s="10"/>
      <c r="L319" s="9"/>
      <c r="M319" s="8"/>
      <c r="N319" s="146" t="s">
        <v>4</v>
      </c>
    </row>
    <row r="320" spans="2:14">
      <c r="B320" s="12">
        <v>46292</v>
      </c>
      <c r="C320" s="9"/>
      <c r="D320" s="11"/>
      <c r="E320" s="11"/>
      <c r="F320" s="11"/>
      <c r="G320" s="10"/>
      <c r="H320" s="11"/>
      <c r="I320" s="11"/>
      <c r="J320" s="11"/>
      <c r="K320" s="10"/>
      <c r="L320" s="9"/>
      <c r="M320" s="8"/>
      <c r="N320" s="146" t="s">
        <v>3</v>
      </c>
    </row>
    <row r="321" spans="2:14">
      <c r="B321" s="12">
        <v>46293</v>
      </c>
      <c r="C321" s="9"/>
      <c r="D321" s="11"/>
      <c r="E321" s="11"/>
      <c r="F321" s="11"/>
      <c r="G321" s="10"/>
      <c r="H321" s="11"/>
      <c r="I321" s="11"/>
      <c r="J321" s="11"/>
      <c r="K321" s="10"/>
      <c r="L321" s="9"/>
      <c r="M321" s="8"/>
      <c r="N321" s="146" t="s">
        <v>2</v>
      </c>
    </row>
    <row r="322" spans="2:14">
      <c r="B322" s="12">
        <v>46294</v>
      </c>
      <c r="C322" s="9"/>
      <c r="D322" s="11"/>
      <c r="E322" s="11"/>
      <c r="F322" s="11"/>
      <c r="G322" s="10"/>
      <c r="H322" s="11"/>
      <c r="I322" s="11"/>
      <c r="J322" s="11"/>
      <c r="K322" s="10"/>
      <c r="L322" s="9"/>
      <c r="M322" s="8"/>
      <c r="N322" s="146" t="s">
        <v>1</v>
      </c>
    </row>
    <row r="323" spans="2:14" ht="17.25" thickBot="1">
      <c r="B323" s="6">
        <v>46295</v>
      </c>
      <c r="C323" s="3"/>
      <c r="D323" s="5"/>
      <c r="E323" s="5"/>
      <c r="F323" s="5"/>
      <c r="G323" s="4"/>
      <c r="H323" s="5"/>
      <c r="I323" s="5"/>
      <c r="J323" s="5"/>
      <c r="K323" s="4"/>
      <c r="L323" s="3"/>
      <c r="M323" s="2"/>
      <c r="N323" s="147" t="s">
        <v>59</v>
      </c>
    </row>
    <row r="324" spans="2:14" ht="17.25" thickBot="1"/>
    <row r="325" spans="2:14" ht="21.75" thickBot="1">
      <c r="B325" s="217"/>
      <c r="C325" s="218" t="s">
        <v>137</v>
      </c>
      <c r="D325" s="219"/>
      <c r="E325" s="219"/>
      <c r="F325" s="219"/>
      <c r="G325" s="220"/>
      <c r="H325" s="221" t="s">
        <v>83</v>
      </c>
      <c r="I325" s="222"/>
      <c r="J325" s="222"/>
      <c r="K325" s="223"/>
      <c r="L325" s="221" t="s">
        <v>82</v>
      </c>
      <c r="M325" s="224"/>
      <c r="N325" s="225" t="s">
        <v>81</v>
      </c>
    </row>
    <row r="326" spans="2:14" ht="20.25" thickBot="1">
      <c r="B326" s="195"/>
      <c r="C326" s="43" t="s">
        <v>75</v>
      </c>
      <c r="D326" s="45" t="s">
        <v>74</v>
      </c>
      <c r="E326" s="45" t="s">
        <v>80</v>
      </c>
      <c r="F326" s="45" t="s">
        <v>79</v>
      </c>
      <c r="G326" s="46" t="s">
        <v>78</v>
      </c>
      <c r="H326" s="45" t="s">
        <v>151</v>
      </c>
      <c r="I326" s="45" t="s">
        <v>77</v>
      </c>
      <c r="J326" s="45" t="s">
        <v>150</v>
      </c>
      <c r="K326" s="44" t="s">
        <v>76</v>
      </c>
      <c r="L326" s="43" t="s">
        <v>75</v>
      </c>
      <c r="M326" s="42" t="s">
        <v>74</v>
      </c>
      <c r="N326" s="226"/>
    </row>
    <row r="327" spans="2:14" ht="21.75" thickBot="1">
      <c r="B327" s="23" t="s">
        <v>159</v>
      </c>
      <c r="C327" s="135">
        <f t="shared" ref="C327:M327" si="10">SUM(C328:C357)</f>
        <v>0</v>
      </c>
      <c r="D327" s="136">
        <f t="shared" si="10"/>
        <v>0</v>
      </c>
      <c r="E327" s="136">
        <f t="shared" si="10"/>
        <v>0</v>
      </c>
      <c r="F327" s="136">
        <f t="shared" si="10"/>
        <v>0</v>
      </c>
      <c r="G327" s="137">
        <f t="shared" si="10"/>
        <v>0</v>
      </c>
      <c r="H327" s="138">
        <f t="shared" si="10"/>
        <v>0</v>
      </c>
      <c r="I327" s="138">
        <f t="shared" si="10"/>
        <v>0</v>
      </c>
      <c r="J327" s="138">
        <f t="shared" si="10"/>
        <v>0</v>
      </c>
      <c r="K327" s="139">
        <f t="shared" si="10"/>
        <v>0</v>
      </c>
      <c r="L327" s="135">
        <f t="shared" si="10"/>
        <v>0</v>
      </c>
      <c r="M327" s="140">
        <f t="shared" si="10"/>
        <v>0</v>
      </c>
      <c r="N327" s="141"/>
    </row>
    <row r="328" spans="2:14">
      <c r="B328" s="32">
        <v>46296</v>
      </c>
      <c r="C328" s="142"/>
      <c r="D328" s="143"/>
      <c r="E328" s="143"/>
      <c r="F328" s="143"/>
      <c r="G328" s="144"/>
      <c r="H328" s="143"/>
      <c r="I328" s="143"/>
      <c r="J328" s="143"/>
      <c r="K328" s="144"/>
      <c r="L328" s="142"/>
      <c r="M328" s="148"/>
      <c r="N328" s="145" t="s">
        <v>29</v>
      </c>
    </row>
    <row r="329" spans="2:14">
      <c r="B329" s="12">
        <v>46297</v>
      </c>
      <c r="C329" s="9"/>
      <c r="D329" s="11"/>
      <c r="E329" s="11"/>
      <c r="F329" s="11"/>
      <c r="G329" s="10"/>
      <c r="H329" s="11"/>
      <c r="I329" s="11"/>
      <c r="J329" s="11"/>
      <c r="K329" s="10"/>
      <c r="L329" s="9"/>
      <c r="M329" s="8"/>
      <c r="N329" s="146" t="s">
        <v>28</v>
      </c>
    </row>
    <row r="330" spans="2:14">
      <c r="B330" s="12">
        <v>46298</v>
      </c>
      <c r="C330" s="9"/>
      <c r="D330" s="11"/>
      <c r="E330" s="11"/>
      <c r="F330" s="11"/>
      <c r="G330" s="10"/>
      <c r="H330" s="11"/>
      <c r="I330" s="11"/>
      <c r="J330" s="11"/>
      <c r="K330" s="10"/>
      <c r="L330" s="9"/>
      <c r="M330" s="8"/>
      <c r="N330" s="146" t="s">
        <v>27</v>
      </c>
    </row>
    <row r="331" spans="2:14">
      <c r="B331" s="12">
        <v>46299</v>
      </c>
      <c r="C331" s="9"/>
      <c r="D331" s="11"/>
      <c r="E331" s="11"/>
      <c r="F331" s="11"/>
      <c r="G331" s="10"/>
      <c r="H331" s="11"/>
      <c r="I331" s="11"/>
      <c r="J331" s="11"/>
      <c r="K331" s="10"/>
      <c r="L331" s="9"/>
      <c r="M331" s="8"/>
      <c r="N331" s="146" t="s">
        <v>26</v>
      </c>
    </row>
    <row r="332" spans="2:14">
      <c r="B332" s="12">
        <v>46300</v>
      </c>
      <c r="C332" s="9"/>
      <c r="D332" s="11"/>
      <c r="E332" s="11"/>
      <c r="F332" s="11"/>
      <c r="G332" s="10"/>
      <c r="H332" s="11"/>
      <c r="I332" s="11"/>
      <c r="J332" s="11"/>
      <c r="K332" s="10"/>
      <c r="L332" s="9"/>
      <c r="M332" s="8"/>
      <c r="N332" s="146" t="s">
        <v>25</v>
      </c>
    </row>
    <row r="333" spans="2:14">
      <c r="B333" s="12">
        <v>46301</v>
      </c>
      <c r="C333" s="9"/>
      <c r="D333" s="11"/>
      <c r="E333" s="11"/>
      <c r="F333" s="11"/>
      <c r="G333" s="10"/>
      <c r="H333" s="11"/>
      <c r="I333" s="11"/>
      <c r="J333" s="11"/>
      <c r="K333" s="10"/>
      <c r="L333" s="9"/>
      <c r="M333" s="8"/>
      <c r="N333" s="146" t="s">
        <v>24</v>
      </c>
    </row>
    <row r="334" spans="2:14">
      <c r="B334" s="12">
        <v>46302</v>
      </c>
      <c r="C334" s="9"/>
      <c r="D334" s="11"/>
      <c r="E334" s="11"/>
      <c r="F334" s="11"/>
      <c r="G334" s="10"/>
      <c r="H334" s="11"/>
      <c r="I334" s="11"/>
      <c r="J334" s="11"/>
      <c r="K334" s="10"/>
      <c r="L334" s="9"/>
      <c r="M334" s="8"/>
      <c r="N334" s="146" t="s">
        <v>23</v>
      </c>
    </row>
    <row r="335" spans="2:14">
      <c r="B335" s="12">
        <v>46303</v>
      </c>
      <c r="C335" s="9"/>
      <c r="D335" s="11"/>
      <c r="E335" s="11"/>
      <c r="F335" s="11"/>
      <c r="G335" s="10"/>
      <c r="H335" s="11"/>
      <c r="I335" s="11"/>
      <c r="J335" s="11"/>
      <c r="K335" s="10"/>
      <c r="L335" s="9"/>
      <c r="M335" s="8"/>
      <c r="N335" s="146" t="s">
        <v>22</v>
      </c>
    </row>
    <row r="336" spans="2:14">
      <c r="B336" s="12">
        <v>46304</v>
      </c>
      <c r="C336" s="9"/>
      <c r="D336" s="11"/>
      <c r="E336" s="11"/>
      <c r="F336" s="11"/>
      <c r="G336" s="10"/>
      <c r="H336" s="11"/>
      <c r="I336" s="11"/>
      <c r="J336" s="11"/>
      <c r="K336" s="10"/>
      <c r="L336" s="9"/>
      <c r="M336" s="8"/>
      <c r="N336" s="146" t="s">
        <v>21</v>
      </c>
    </row>
    <row r="337" spans="2:14">
      <c r="B337" s="12">
        <v>46305</v>
      </c>
      <c r="C337" s="9"/>
      <c r="D337" s="11"/>
      <c r="E337" s="11"/>
      <c r="F337" s="11"/>
      <c r="G337" s="10"/>
      <c r="H337" s="11"/>
      <c r="I337" s="11"/>
      <c r="J337" s="11"/>
      <c r="K337" s="10"/>
      <c r="L337" s="9"/>
      <c r="M337" s="8"/>
      <c r="N337" s="146" t="s">
        <v>20</v>
      </c>
    </row>
    <row r="338" spans="2:14">
      <c r="B338" s="12">
        <v>46306</v>
      </c>
      <c r="C338" s="9"/>
      <c r="D338" s="11"/>
      <c r="E338" s="11"/>
      <c r="F338" s="11"/>
      <c r="G338" s="10"/>
      <c r="H338" s="11"/>
      <c r="I338" s="11"/>
      <c r="J338" s="11"/>
      <c r="K338" s="10"/>
      <c r="L338" s="9"/>
      <c r="M338" s="8"/>
      <c r="N338" s="146" t="s">
        <v>19</v>
      </c>
    </row>
    <row r="339" spans="2:14">
      <c r="B339" s="12">
        <v>46307</v>
      </c>
      <c r="C339" s="9"/>
      <c r="D339" s="11"/>
      <c r="E339" s="11"/>
      <c r="F339" s="11"/>
      <c r="G339" s="10"/>
      <c r="H339" s="11"/>
      <c r="I339" s="11"/>
      <c r="J339" s="11"/>
      <c r="K339" s="10"/>
      <c r="L339" s="9"/>
      <c r="M339" s="8"/>
      <c r="N339" s="146" t="s">
        <v>18</v>
      </c>
    </row>
    <row r="340" spans="2:14">
      <c r="B340" s="12">
        <v>46308</v>
      </c>
      <c r="C340" s="9"/>
      <c r="D340" s="11"/>
      <c r="E340" s="11"/>
      <c r="F340" s="11"/>
      <c r="G340" s="10"/>
      <c r="H340" s="11"/>
      <c r="I340" s="11"/>
      <c r="J340" s="11"/>
      <c r="K340" s="10"/>
      <c r="L340" s="9"/>
      <c r="M340" s="8"/>
      <c r="N340" s="146" t="s">
        <v>17</v>
      </c>
    </row>
    <row r="341" spans="2:14">
      <c r="B341" s="12">
        <v>46309</v>
      </c>
      <c r="C341" s="9"/>
      <c r="D341" s="11"/>
      <c r="E341" s="11"/>
      <c r="F341" s="11"/>
      <c r="G341" s="10"/>
      <c r="H341" s="11"/>
      <c r="I341" s="11"/>
      <c r="J341" s="11"/>
      <c r="K341" s="10"/>
      <c r="L341" s="9"/>
      <c r="M341" s="8"/>
      <c r="N341" s="146" t="s">
        <v>16</v>
      </c>
    </row>
    <row r="342" spans="2:14">
      <c r="B342" s="12">
        <v>46310</v>
      </c>
      <c r="C342" s="9"/>
      <c r="D342" s="11"/>
      <c r="E342" s="11"/>
      <c r="F342" s="11"/>
      <c r="G342" s="10"/>
      <c r="H342" s="11"/>
      <c r="I342" s="11"/>
      <c r="J342" s="11"/>
      <c r="K342" s="10"/>
      <c r="L342" s="9"/>
      <c r="M342" s="8"/>
      <c r="N342" s="146" t="s">
        <v>15</v>
      </c>
    </row>
    <row r="343" spans="2:14">
      <c r="B343" s="12">
        <v>46311</v>
      </c>
      <c r="C343" s="9"/>
      <c r="D343" s="11"/>
      <c r="E343" s="11"/>
      <c r="F343" s="11"/>
      <c r="G343" s="10"/>
      <c r="H343" s="11"/>
      <c r="I343" s="11"/>
      <c r="J343" s="11"/>
      <c r="K343" s="10"/>
      <c r="L343" s="9"/>
      <c r="M343" s="8"/>
      <c r="N343" s="146" t="s">
        <v>14</v>
      </c>
    </row>
    <row r="344" spans="2:14">
      <c r="B344" s="12">
        <v>46312</v>
      </c>
      <c r="C344" s="9"/>
      <c r="D344" s="11"/>
      <c r="E344" s="11"/>
      <c r="F344" s="11"/>
      <c r="G344" s="10"/>
      <c r="H344" s="11"/>
      <c r="I344" s="11"/>
      <c r="J344" s="11"/>
      <c r="K344" s="10"/>
      <c r="L344" s="9"/>
      <c r="M344" s="8"/>
      <c r="N344" s="146" t="s">
        <v>13</v>
      </c>
    </row>
    <row r="345" spans="2:14">
      <c r="B345" s="12">
        <v>46313</v>
      </c>
      <c r="C345" s="9"/>
      <c r="D345" s="11"/>
      <c r="E345" s="11"/>
      <c r="F345" s="11"/>
      <c r="G345" s="10"/>
      <c r="H345" s="11"/>
      <c r="I345" s="11"/>
      <c r="J345" s="11"/>
      <c r="K345" s="10"/>
      <c r="L345" s="9"/>
      <c r="M345" s="8"/>
      <c r="N345" s="146" t="s">
        <v>12</v>
      </c>
    </row>
    <row r="346" spans="2:14">
      <c r="B346" s="12">
        <v>46314</v>
      </c>
      <c r="C346" s="9"/>
      <c r="D346" s="11"/>
      <c r="E346" s="11"/>
      <c r="F346" s="11"/>
      <c r="G346" s="10"/>
      <c r="H346" s="11"/>
      <c r="I346" s="11"/>
      <c r="J346" s="11"/>
      <c r="K346" s="10"/>
      <c r="L346" s="9"/>
      <c r="M346" s="8"/>
      <c r="N346" s="146" t="s">
        <v>11</v>
      </c>
    </row>
    <row r="347" spans="2:14">
      <c r="B347" s="12">
        <v>46315</v>
      </c>
      <c r="C347" s="9"/>
      <c r="D347" s="11"/>
      <c r="E347" s="11"/>
      <c r="F347" s="11"/>
      <c r="G347" s="10"/>
      <c r="H347" s="11"/>
      <c r="I347" s="11"/>
      <c r="J347" s="11"/>
      <c r="K347" s="10"/>
      <c r="L347" s="9"/>
      <c r="M347" s="8"/>
      <c r="N347" s="146" t="s">
        <v>10</v>
      </c>
    </row>
    <row r="348" spans="2:14">
      <c r="B348" s="12">
        <v>46316</v>
      </c>
      <c r="C348" s="9"/>
      <c r="D348" s="11"/>
      <c r="E348" s="11"/>
      <c r="F348" s="11"/>
      <c r="G348" s="10"/>
      <c r="H348" s="11"/>
      <c r="I348" s="11"/>
      <c r="J348" s="11"/>
      <c r="K348" s="10"/>
      <c r="L348" s="9"/>
      <c r="M348" s="8"/>
      <c r="N348" s="146" t="s">
        <v>9</v>
      </c>
    </row>
    <row r="349" spans="2:14">
      <c r="B349" s="12">
        <v>46317</v>
      </c>
      <c r="C349" s="9"/>
      <c r="D349" s="11"/>
      <c r="E349" s="11"/>
      <c r="F349" s="11"/>
      <c r="G349" s="10"/>
      <c r="H349" s="11"/>
      <c r="I349" s="11"/>
      <c r="J349" s="11"/>
      <c r="K349" s="10"/>
      <c r="L349" s="9"/>
      <c r="M349" s="8"/>
      <c r="N349" s="146" t="s">
        <v>8</v>
      </c>
    </row>
    <row r="350" spans="2:14">
      <c r="B350" s="12">
        <v>46318</v>
      </c>
      <c r="C350" s="9"/>
      <c r="D350" s="11"/>
      <c r="E350" s="11"/>
      <c r="F350" s="11"/>
      <c r="G350" s="10"/>
      <c r="H350" s="11"/>
      <c r="I350" s="11"/>
      <c r="J350" s="11"/>
      <c r="K350" s="10"/>
      <c r="L350" s="9"/>
      <c r="M350" s="8"/>
      <c r="N350" s="146" t="s">
        <v>7</v>
      </c>
    </row>
    <row r="351" spans="2:14">
      <c r="B351" s="12">
        <v>46319</v>
      </c>
      <c r="C351" s="9"/>
      <c r="D351" s="11"/>
      <c r="E351" s="11"/>
      <c r="F351" s="11"/>
      <c r="G351" s="10"/>
      <c r="H351" s="11"/>
      <c r="I351" s="11"/>
      <c r="J351" s="11"/>
      <c r="K351" s="10"/>
      <c r="L351" s="9"/>
      <c r="M351" s="8"/>
      <c r="N351" s="146" t="s">
        <v>6</v>
      </c>
    </row>
    <row r="352" spans="2:14">
      <c r="B352" s="12">
        <v>46320</v>
      </c>
      <c r="C352" s="9"/>
      <c r="D352" s="11"/>
      <c r="E352" s="11"/>
      <c r="F352" s="11"/>
      <c r="G352" s="10"/>
      <c r="H352" s="11"/>
      <c r="I352" s="11"/>
      <c r="J352" s="11"/>
      <c r="K352" s="10"/>
      <c r="L352" s="9"/>
      <c r="M352" s="8"/>
      <c r="N352" s="146" t="s">
        <v>5</v>
      </c>
    </row>
    <row r="353" spans="2:14">
      <c r="B353" s="12">
        <v>46321</v>
      </c>
      <c r="C353" s="9"/>
      <c r="D353" s="11"/>
      <c r="E353" s="11"/>
      <c r="F353" s="11"/>
      <c r="G353" s="10"/>
      <c r="H353" s="11"/>
      <c r="I353" s="11"/>
      <c r="J353" s="11"/>
      <c r="K353" s="10"/>
      <c r="L353" s="9"/>
      <c r="M353" s="8"/>
      <c r="N353" s="146" t="s">
        <v>4</v>
      </c>
    </row>
    <row r="354" spans="2:14">
      <c r="B354" s="12">
        <v>46322</v>
      </c>
      <c r="C354" s="9"/>
      <c r="D354" s="11"/>
      <c r="E354" s="11"/>
      <c r="F354" s="11"/>
      <c r="G354" s="10"/>
      <c r="H354" s="11"/>
      <c r="I354" s="11"/>
      <c r="J354" s="11"/>
      <c r="K354" s="10"/>
      <c r="L354" s="9"/>
      <c r="M354" s="8"/>
      <c r="N354" s="146" t="s">
        <v>3</v>
      </c>
    </row>
    <row r="355" spans="2:14">
      <c r="B355" s="12">
        <v>46323</v>
      </c>
      <c r="C355" s="9"/>
      <c r="D355" s="11"/>
      <c r="E355" s="11"/>
      <c r="F355" s="11"/>
      <c r="G355" s="10"/>
      <c r="H355" s="11"/>
      <c r="I355" s="11"/>
      <c r="J355" s="11"/>
      <c r="K355" s="10"/>
      <c r="L355" s="9"/>
      <c r="M355" s="8"/>
      <c r="N355" s="146" t="s">
        <v>2</v>
      </c>
    </row>
    <row r="356" spans="2:14">
      <c r="B356" s="12">
        <v>46324</v>
      </c>
      <c r="C356" s="9"/>
      <c r="D356" s="11"/>
      <c r="E356" s="11"/>
      <c r="F356" s="11"/>
      <c r="G356" s="10"/>
      <c r="H356" s="11"/>
      <c r="I356" s="11"/>
      <c r="J356" s="11"/>
      <c r="K356" s="10"/>
      <c r="L356" s="9"/>
      <c r="M356" s="8"/>
      <c r="N356" s="146" t="s">
        <v>1</v>
      </c>
    </row>
    <row r="357" spans="2:14">
      <c r="B357" s="12">
        <v>46325</v>
      </c>
      <c r="C357" s="9"/>
      <c r="D357" s="11"/>
      <c r="E357" s="11"/>
      <c r="F357" s="11"/>
      <c r="G357" s="10"/>
      <c r="H357" s="11"/>
      <c r="I357" s="11"/>
      <c r="J357" s="11"/>
      <c r="K357" s="10"/>
      <c r="L357" s="9"/>
      <c r="M357" s="8"/>
      <c r="N357" s="146" t="s">
        <v>59</v>
      </c>
    </row>
    <row r="358" spans="2:14" ht="17.25" thickBot="1">
      <c r="B358" s="6">
        <v>46326</v>
      </c>
      <c r="C358" s="3"/>
      <c r="D358" s="5"/>
      <c r="E358" s="5"/>
      <c r="F358" s="5"/>
      <c r="G358" s="4"/>
      <c r="H358" s="5"/>
      <c r="I358" s="5"/>
      <c r="J358" s="5"/>
      <c r="K358" s="4"/>
      <c r="L358" s="3"/>
      <c r="M358" s="2"/>
      <c r="N358" s="147" t="s">
        <v>72</v>
      </c>
    </row>
    <row r="359" spans="2:14" ht="17.25" thickBot="1"/>
    <row r="360" spans="2:14" ht="21.75" thickBot="1">
      <c r="B360" s="217"/>
      <c r="C360" s="218" t="s">
        <v>137</v>
      </c>
      <c r="D360" s="219"/>
      <c r="E360" s="219"/>
      <c r="F360" s="219"/>
      <c r="G360" s="220"/>
      <c r="H360" s="221" t="s">
        <v>83</v>
      </c>
      <c r="I360" s="222"/>
      <c r="J360" s="222"/>
      <c r="K360" s="223"/>
      <c r="L360" s="221" t="s">
        <v>82</v>
      </c>
      <c r="M360" s="224"/>
      <c r="N360" s="225" t="s">
        <v>81</v>
      </c>
    </row>
    <row r="361" spans="2:14" ht="20.25" thickBot="1">
      <c r="B361" s="195"/>
      <c r="C361" s="43" t="s">
        <v>75</v>
      </c>
      <c r="D361" s="45" t="s">
        <v>74</v>
      </c>
      <c r="E361" s="45" t="s">
        <v>80</v>
      </c>
      <c r="F361" s="45" t="s">
        <v>79</v>
      </c>
      <c r="G361" s="46" t="s">
        <v>78</v>
      </c>
      <c r="H361" s="45" t="s">
        <v>151</v>
      </c>
      <c r="I361" s="45" t="s">
        <v>77</v>
      </c>
      <c r="J361" s="45" t="s">
        <v>150</v>
      </c>
      <c r="K361" s="44" t="s">
        <v>76</v>
      </c>
      <c r="L361" s="43" t="s">
        <v>75</v>
      </c>
      <c r="M361" s="42" t="s">
        <v>74</v>
      </c>
      <c r="N361" s="226"/>
    </row>
    <row r="362" spans="2:14" ht="21.75" thickBot="1">
      <c r="B362" s="23" t="s">
        <v>161</v>
      </c>
      <c r="C362" s="135">
        <f t="shared" ref="C362:M362" si="11">SUM(C363:C392)</f>
        <v>0</v>
      </c>
      <c r="D362" s="136">
        <f t="shared" si="11"/>
        <v>0</v>
      </c>
      <c r="E362" s="136">
        <f t="shared" si="11"/>
        <v>0</v>
      </c>
      <c r="F362" s="136">
        <f t="shared" si="11"/>
        <v>0</v>
      </c>
      <c r="G362" s="137">
        <f t="shared" si="11"/>
        <v>0</v>
      </c>
      <c r="H362" s="138">
        <f t="shared" si="11"/>
        <v>0</v>
      </c>
      <c r="I362" s="138">
        <f t="shared" si="11"/>
        <v>0</v>
      </c>
      <c r="J362" s="138">
        <f t="shared" si="11"/>
        <v>0</v>
      </c>
      <c r="K362" s="139">
        <f t="shared" si="11"/>
        <v>0</v>
      </c>
      <c r="L362" s="135">
        <f t="shared" si="11"/>
        <v>0</v>
      </c>
      <c r="M362" s="140">
        <f t="shared" si="11"/>
        <v>0</v>
      </c>
      <c r="N362" s="141"/>
    </row>
    <row r="363" spans="2:14">
      <c r="B363" s="32"/>
      <c r="C363" s="142"/>
      <c r="D363" s="143"/>
      <c r="E363" s="143"/>
      <c r="F363" s="143"/>
      <c r="G363" s="144"/>
      <c r="H363" s="143"/>
      <c r="I363" s="143"/>
      <c r="J363" s="143"/>
      <c r="K363" s="144"/>
      <c r="L363" s="142"/>
      <c r="M363" s="148"/>
      <c r="N363" s="145" t="s">
        <v>29</v>
      </c>
    </row>
    <row r="364" spans="2:14">
      <c r="B364" s="12"/>
      <c r="C364" s="9"/>
      <c r="D364" s="11"/>
      <c r="E364" s="11"/>
      <c r="F364" s="11"/>
      <c r="G364" s="10"/>
      <c r="H364" s="11"/>
      <c r="I364" s="11"/>
      <c r="J364" s="11"/>
      <c r="K364" s="10"/>
      <c r="L364" s="9"/>
      <c r="M364" s="8"/>
      <c r="N364" s="146" t="s">
        <v>28</v>
      </c>
    </row>
    <row r="365" spans="2:14">
      <c r="B365" s="12"/>
      <c r="C365" s="9"/>
      <c r="D365" s="11"/>
      <c r="E365" s="11"/>
      <c r="F365" s="11"/>
      <c r="G365" s="10"/>
      <c r="H365" s="11"/>
      <c r="I365" s="11"/>
      <c r="J365" s="11"/>
      <c r="K365" s="10"/>
      <c r="L365" s="9"/>
      <c r="M365" s="8"/>
      <c r="N365" s="146" t="s">
        <v>27</v>
      </c>
    </row>
    <row r="366" spans="2:14">
      <c r="B366" s="12"/>
      <c r="C366" s="9"/>
      <c r="D366" s="11"/>
      <c r="E366" s="11"/>
      <c r="F366" s="11"/>
      <c r="G366" s="10"/>
      <c r="H366" s="11"/>
      <c r="I366" s="11"/>
      <c r="J366" s="11"/>
      <c r="K366" s="10"/>
      <c r="L366" s="9"/>
      <c r="M366" s="8"/>
      <c r="N366" s="146" t="s">
        <v>26</v>
      </c>
    </row>
    <row r="367" spans="2:14">
      <c r="B367" s="12"/>
      <c r="C367" s="9"/>
      <c r="D367" s="11"/>
      <c r="E367" s="11"/>
      <c r="F367" s="11"/>
      <c r="G367" s="10"/>
      <c r="H367" s="11"/>
      <c r="I367" s="11"/>
      <c r="J367" s="11"/>
      <c r="K367" s="10"/>
      <c r="L367" s="9"/>
      <c r="M367" s="8"/>
      <c r="N367" s="146" t="s">
        <v>25</v>
      </c>
    </row>
    <row r="368" spans="2:14">
      <c r="B368" s="12"/>
      <c r="C368" s="9"/>
      <c r="D368" s="11"/>
      <c r="E368" s="11"/>
      <c r="F368" s="11"/>
      <c r="G368" s="10"/>
      <c r="H368" s="11"/>
      <c r="I368" s="11"/>
      <c r="J368" s="11"/>
      <c r="K368" s="10"/>
      <c r="L368" s="9"/>
      <c r="M368" s="8"/>
      <c r="N368" s="146" t="s">
        <v>24</v>
      </c>
    </row>
    <row r="369" spans="2:14">
      <c r="B369" s="12"/>
      <c r="C369" s="9"/>
      <c r="D369" s="11"/>
      <c r="E369" s="11"/>
      <c r="F369" s="11"/>
      <c r="G369" s="10"/>
      <c r="H369" s="11"/>
      <c r="I369" s="11"/>
      <c r="J369" s="11"/>
      <c r="K369" s="10"/>
      <c r="L369" s="9"/>
      <c r="M369" s="8"/>
      <c r="N369" s="146" t="s">
        <v>23</v>
      </c>
    </row>
    <row r="370" spans="2:14">
      <c r="B370" s="12"/>
      <c r="C370" s="9"/>
      <c r="D370" s="11"/>
      <c r="E370" s="11"/>
      <c r="F370" s="11"/>
      <c r="G370" s="10"/>
      <c r="H370" s="11"/>
      <c r="I370" s="11"/>
      <c r="J370" s="11"/>
      <c r="K370" s="10"/>
      <c r="L370" s="9"/>
      <c r="M370" s="8"/>
      <c r="N370" s="146" t="s">
        <v>22</v>
      </c>
    </row>
    <row r="371" spans="2:14">
      <c r="B371" s="12"/>
      <c r="C371" s="9"/>
      <c r="D371" s="11"/>
      <c r="E371" s="11"/>
      <c r="F371" s="11"/>
      <c r="G371" s="10"/>
      <c r="H371" s="11"/>
      <c r="I371" s="11"/>
      <c r="J371" s="11"/>
      <c r="K371" s="10"/>
      <c r="L371" s="9"/>
      <c r="M371" s="8"/>
      <c r="N371" s="146" t="s">
        <v>21</v>
      </c>
    </row>
    <row r="372" spans="2:14">
      <c r="B372" s="12"/>
      <c r="C372" s="9"/>
      <c r="D372" s="11"/>
      <c r="E372" s="11"/>
      <c r="F372" s="11"/>
      <c r="G372" s="10"/>
      <c r="H372" s="11"/>
      <c r="I372" s="11"/>
      <c r="J372" s="11"/>
      <c r="K372" s="10"/>
      <c r="L372" s="9"/>
      <c r="M372" s="8"/>
      <c r="N372" s="146" t="s">
        <v>20</v>
      </c>
    </row>
    <row r="373" spans="2:14">
      <c r="B373" s="12"/>
      <c r="C373" s="9"/>
      <c r="D373" s="11"/>
      <c r="E373" s="11"/>
      <c r="F373" s="11"/>
      <c r="G373" s="10"/>
      <c r="H373" s="11"/>
      <c r="I373" s="11"/>
      <c r="J373" s="11"/>
      <c r="K373" s="10"/>
      <c r="L373" s="9"/>
      <c r="M373" s="8"/>
      <c r="N373" s="146" t="s">
        <v>19</v>
      </c>
    </row>
    <row r="374" spans="2:14">
      <c r="B374" s="12"/>
      <c r="C374" s="9"/>
      <c r="D374" s="11"/>
      <c r="E374" s="11"/>
      <c r="F374" s="11"/>
      <c r="G374" s="10"/>
      <c r="H374" s="11"/>
      <c r="I374" s="11"/>
      <c r="J374" s="11"/>
      <c r="K374" s="10"/>
      <c r="L374" s="9"/>
      <c r="M374" s="8"/>
      <c r="N374" s="146" t="s">
        <v>18</v>
      </c>
    </row>
    <row r="375" spans="2:14">
      <c r="B375" s="12"/>
      <c r="C375" s="9"/>
      <c r="D375" s="11"/>
      <c r="E375" s="11"/>
      <c r="F375" s="11"/>
      <c r="G375" s="10"/>
      <c r="H375" s="11"/>
      <c r="I375" s="11"/>
      <c r="J375" s="11"/>
      <c r="K375" s="10"/>
      <c r="L375" s="9"/>
      <c r="M375" s="8"/>
      <c r="N375" s="146" t="s">
        <v>17</v>
      </c>
    </row>
    <row r="376" spans="2:14">
      <c r="B376" s="12"/>
      <c r="C376" s="9"/>
      <c r="D376" s="11"/>
      <c r="E376" s="11"/>
      <c r="F376" s="11"/>
      <c r="G376" s="10"/>
      <c r="H376" s="11"/>
      <c r="I376" s="11"/>
      <c r="J376" s="11"/>
      <c r="K376" s="10"/>
      <c r="L376" s="9"/>
      <c r="M376" s="8"/>
      <c r="N376" s="146" t="s">
        <v>16</v>
      </c>
    </row>
    <row r="377" spans="2:14">
      <c r="B377" s="12"/>
      <c r="C377" s="9"/>
      <c r="D377" s="11"/>
      <c r="E377" s="11"/>
      <c r="F377" s="11"/>
      <c r="G377" s="10"/>
      <c r="H377" s="11"/>
      <c r="I377" s="11"/>
      <c r="J377" s="11"/>
      <c r="K377" s="10"/>
      <c r="L377" s="9"/>
      <c r="M377" s="8"/>
      <c r="N377" s="146" t="s">
        <v>15</v>
      </c>
    </row>
    <row r="378" spans="2:14">
      <c r="B378" s="12"/>
      <c r="C378" s="9"/>
      <c r="D378" s="11"/>
      <c r="E378" s="11"/>
      <c r="F378" s="11"/>
      <c r="G378" s="10"/>
      <c r="H378" s="11"/>
      <c r="I378" s="11"/>
      <c r="J378" s="11"/>
      <c r="K378" s="10"/>
      <c r="L378" s="9"/>
      <c r="M378" s="8"/>
      <c r="N378" s="146" t="s">
        <v>14</v>
      </c>
    </row>
    <row r="379" spans="2:14">
      <c r="B379" s="12"/>
      <c r="C379" s="9"/>
      <c r="D379" s="11"/>
      <c r="E379" s="11"/>
      <c r="F379" s="11"/>
      <c r="G379" s="10"/>
      <c r="H379" s="11"/>
      <c r="I379" s="11"/>
      <c r="J379" s="11"/>
      <c r="K379" s="10"/>
      <c r="L379" s="9"/>
      <c r="M379" s="8"/>
      <c r="N379" s="146" t="s">
        <v>13</v>
      </c>
    </row>
    <row r="380" spans="2:14">
      <c r="B380" s="12"/>
      <c r="C380" s="9"/>
      <c r="D380" s="11"/>
      <c r="E380" s="11"/>
      <c r="F380" s="11"/>
      <c r="G380" s="10"/>
      <c r="H380" s="11"/>
      <c r="I380" s="11"/>
      <c r="J380" s="11"/>
      <c r="K380" s="10"/>
      <c r="L380" s="9"/>
      <c r="M380" s="8"/>
      <c r="N380" s="146" t="s">
        <v>12</v>
      </c>
    </row>
    <row r="381" spans="2:14">
      <c r="B381" s="12"/>
      <c r="C381" s="9"/>
      <c r="D381" s="11"/>
      <c r="E381" s="11"/>
      <c r="F381" s="11"/>
      <c r="G381" s="10"/>
      <c r="H381" s="11"/>
      <c r="I381" s="11"/>
      <c r="J381" s="11"/>
      <c r="K381" s="10"/>
      <c r="L381" s="9"/>
      <c r="M381" s="8"/>
      <c r="N381" s="146" t="s">
        <v>11</v>
      </c>
    </row>
    <row r="382" spans="2:14">
      <c r="B382" s="12"/>
      <c r="C382" s="9"/>
      <c r="D382" s="11"/>
      <c r="E382" s="11"/>
      <c r="F382" s="11"/>
      <c r="G382" s="10"/>
      <c r="H382" s="11"/>
      <c r="I382" s="11"/>
      <c r="J382" s="11"/>
      <c r="K382" s="10"/>
      <c r="L382" s="9"/>
      <c r="M382" s="8"/>
      <c r="N382" s="146" t="s">
        <v>10</v>
      </c>
    </row>
    <row r="383" spans="2:14">
      <c r="B383" s="12"/>
      <c r="C383" s="9"/>
      <c r="D383" s="11"/>
      <c r="E383" s="11"/>
      <c r="F383" s="11"/>
      <c r="G383" s="10"/>
      <c r="H383" s="11"/>
      <c r="I383" s="11"/>
      <c r="J383" s="11"/>
      <c r="K383" s="10"/>
      <c r="L383" s="9"/>
      <c r="M383" s="8"/>
      <c r="N383" s="146" t="s">
        <v>9</v>
      </c>
    </row>
    <row r="384" spans="2:14">
      <c r="B384" s="12"/>
      <c r="C384" s="9"/>
      <c r="D384" s="11"/>
      <c r="E384" s="11"/>
      <c r="F384" s="11"/>
      <c r="G384" s="10"/>
      <c r="H384" s="11"/>
      <c r="I384" s="11"/>
      <c r="J384" s="11"/>
      <c r="K384" s="10"/>
      <c r="L384" s="9"/>
      <c r="M384" s="8"/>
      <c r="N384" s="146" t="s">
        <v>8</v>
      </c>
    </row>
    <row r="385" spans="2:14">
      <c r="B385" s="12"/>
      <c r="C385" s="9"/>
      <c r="D385" s="11"/>
      <c r="E385" s="11"/>
      <c r="F385" s="11"/>
      <c r="G385" s="10"/>
      <c r="H385" s="11"/>
      <c r="I385" s="11"/>
      <c r="J385" s="11"/>
      <c r="K385" s="10"/>
      <c r="L385" s="9"/>
      <c r="M385" s="8"/>
      <c r="N385" s="146" t="s">
        <v>7</v>
      </c>
    </row>
    <row r="386" spans="2:14">
      <c r="B386" s="12"/>
      <c r="C386" s="9"/>
      <c r="D386" s="11"/>
      <c r="E386" s="11"/>
      <c r="F386" s="11"/>
      <c r="G386" s="10"/>
      <c r="H386" s="11"/>
      <c r="I386" s="11"/>
      <c r="J386" s="11"/>
      <c r="K386" s="10"/>
      <c r="L386" s="9"/>
      <c r="M386" s="8"/>
      <c r="N386" s="146" t="s">
        <v>6</v>
      </c>
    </row>
    <row r="387" spans="2:14">
      <c r="B387" s="12"/>
      <c r="C387" s="9"/>
      <c r="D387" s="11"/>
      <c r="E387" s="11"/>
      <c r="F387" s="11"/>
      <c r="G387" s="10"/>
      <c r="H387" s="11"/>
      <c r="I387" s="11"/>
      <c r="J387" s="11"/>
      <c r="K387" s="10"/>
      <c r="L387" s="9"/>
      <c r="M387" s="8"/>
      <c r="N387" s="146" t="s">
        <v>5</v>
      </c>
    </row>
    <row r="388" spans="2:14">
      <c r="B388" s="12"/>
      <c r="C388" s="9"/>
      <c r="D388" s="11"/>
      <c r="E388" s="11"/>
      <c r="F388" s="11"/>
      <c r="G388" s="10"/>
      <c r="H388" s="11"/>
      <c r="I388" s="11"/>
      <c r="J388" s="11"/>
      <c r="K388" s="10"/>
      <c r="L388" s="9"/>
      <c r="M388" s="8"/>
      <c r="N388" s="146" t="s">
        <v>4</v>
      </c>
    </row>
    <row r="389" spans="2:14">
      <c r="B389" s="12"/>
      <c r="C389" s="9"/>
      <c r="D389" s="11"/>
      <c r="E389" s="11"/>
      <c r="F389" s="11"/>
      <c r="G389" s="10"/>
      <c r="H389" s="11"/>
      <c r="I389" s="11"/>
      <c r="J389" s="11"/>
      <c r="K389" s="10"/>
      <c r="L389" s="9"/>
      <c r="M389" s="8"/>
      <c r="N389" s="146" t="s">
        <v>3</v>
      </c>
    </row>
    <row r="390" spans="2:14">
      <c r="B390" s="12"/>
      <c r="C390" s="9"/>
      <c r="D390" s="11"/>
      <c r="E390" s="11"/>
      <c r="F390" s="11"/>
      <c r="G390" s="10"/>
      <c r="H390" s="11"/>
      <c r="I390" s="11"/>
      <c r="J390" s="11"/>
      <c r="K390" s="10"/>
      <c r="L390" s="9"/>
      <c r="M390" s="8"/>
      <c r="N390" s="146" t="s">
        <v>2</v>
      </c>
    </row>
    <row r="391" spans="2:14">
      <c r="B391" s="12"/>
      <c r="C391" s="9"/>
      <c r="D391" s="11"/>
      <c r="E391" s="11"/>
      <c r="F391" s="11"/>
      <c r="G391" s="10"/>
      <c r="H391" s="11"/>
      <c r="I391" s="11"/>
      <c r="J391" s="11"/>
      <c r="K391" s="10"/>
      <c r="L391" s="9"/>
      <c r="M391" s="8"/>
      <c r="N391" s="146" t="s">
        <v>1</v>
      </c>
    </row>
    <row r="392" spans="2:14" ht="17.25" thickBot="1">
      <c r="B392" s="6"/>
      <c r="C392" s="3"/>
      <c r="D392" s="5"/>
      <c r="E392" s="5"/>
      <c r="F392" s="5"/>
      <c r="G392" s="4"/>
      <c r="H392" s="5"/>
      <c r="I392" s="5"/>
      <c r="J392" s="5"/>
      <c r="K392" s="4"/>
      <c r="L392" s="3"/>
      <c r="M392" s="2"/>
      <c r="N392" s="147" t="s">
        <v>59</v>
      </c>
    </row>
    <row r="393" spans="2:14" ht="17.25" thickBot="1"/>
    <row r="394" spans="2:14" ht="21.75" thickBot="1">
      <c r="B394" s="217"/>
      <c r="C394" s="218" t="s">
        <v>137</v>
      </c>
      <c r="D394" s="219"/>
      <c r="E394" s="219"/>
      <c r="F394" s="219"/>
      <c r="G394" s="220"/>
      <c r="H394" s="221" t="s">
        <v>83</v>
      </c>
      <c r="I394" s="222"/>
      <c r="J394" s="222"/>
      <c r="K394" s="223"/>
      <c r="L394" s="221" t="s">
        <v>82</v>
      </c>
      <c r="M394" s="224"/>
      <c r="N394" s="225" t="s">
        <v>81</v>
      </c>
    </row>
    <row r="395" spans="2:14" ht="20.25" thickBot="1">
      <c r="B395" s="195"/>
      <c r="C395" s="43" t="s">
        <v>75</v>
      </c>
      <c r="D395" s="45" t="s">
        <v>74</v>
      </c>
      <c r="E395" s="45" t="s">
        <v>80</v>
      </c>
      <c r="F395" s="45" t="s">
        <v>79</v>
      </c>
      <c r="G395" s="46" t="s">
        <v>78</v>
      </c>
      <c r="H395" s="45" t="s">
        <v>151</v>
      </c>
      <c r="I395" s="45" t="s">
        <v>77</v>
      </c>
      <c r="J395" s="45" t="s">
        <v>150</v>
      </c>
      <c r="K395" s="44" t="s">
        <v>76</v>
      </c>
      <c r="L395" s="43" t="s">
        <v>75</v>
      </c>
      <c r="M395" s="42" t="s">
        <v>74</v>
      </c>
      <c r="N395" s="226"/>
    </row>
    <row r="396" spans="2:14" ht="21.75" thickBot="1">
      <c r="B396" s="23" t="s">
        <v>163</v>
      </c>
      <c r="C396" s="135">
        <f t="shared" ref="C396:M396" si="12">SUM(C397:C426)</f>
        <v>0</v>
      </c>
      <c r="D396" s="136">
        <f t="shared" si="12"/>
        <v>0</v>
      </c>
      <c r="E396" s="136">
        <f t="shared" si="12"/>
        <v>0</v>
      </c>
      <c r="F396" s="136">
        <f t="shared" si="12"/>
        <v>0</v>
      </c>
      <c r="G396" s="137">
        <f t="shared" si="12"/>
        <v>0</v>
      </c>
      <c r="H396" s="138">
        <f t="shared" si="12"/>
        <v>0</v>
      </c>
      <c r="I396" s="138">
        <f t="shared" si="12"/>
        <v>0</v>
      </c>
      <c r="J396" s="138">
        <f t="shared" si="12"/>
        <v>0</v>
      </c>
      <c r="K396" s="139">
        <f t="shared" si="12"/>
        <v>0</v>
      </c>
      <c r="L396" s="135">
        <f t="shared" si="12"/>
        <v>0</v>
      </c>
      <c r="M396" s="140">
        <f t="shared" si="12"/>
        <v>0</v>
      </c>
      <c r="N396" s="141"/>
    </row>
    <row r="397" spans="2:14">
      <c r="B397" s="32">
        <v>46357</v>
      </c>
      <c r="C397" s="142"/>
      <c r="D397" s="143"/>
      <c r="E397" s="143"/>
      <c r="F397" s="143"/>
      <c r="G397" s="144"/>
      <c r="H397" s="143"/>
      <c r="I397" s="143"/>
      <c r="J397" s="143"/>
      <c r="K397" s="144"/>
      <c r="L397" s="142"/>
      <c r="M397" s="148"/>
      <c r="N397" s="145" t="s">
        <v>29</v>
      </c>
    </row>
    <row r="398" spans="2:14">
      <c r="B398" s="12">
        <v>46358</v>
      </c>
      <c r="C398" s="9"/>
      <c r="D398" s="11"/>
      <c r="E398" s="11"/>
      <c r="F398" s="11"/>
      <c r="G398" s="10"/>
      <c r="H398" s="11"/>
      <c r="I398" s="11"/>
      <c r="J398" s="11"/>
      <c r="K398" s="10"/>
      <c r="L398" s="9"/>
      <c r="M398" s="8"/>
      <c r="N398" s="146" t="s">
        <v>28</v>
      </c>
    </row>
    <row r="399" spans="2:14">
      <c r="B399" s="12">
        <v>46359</v>
      </c>
      <c r="C399" s="9"/>
      <c r="D399" s="11"/>
      <c r="E399" s="11"/>
      <c r="F399" s="11"/>
      <c r="G399" s="10"/>
      <c r="H399" s="11"/>
      <c r="I399" s="11"/>
      <c r="J399" s="11"/>
      <c r="K399" s="10"/>
      <c r="L399" s="9"/>
      <c r="M399" s="8"/>
      <c r="N399" s="146" t="s">
        <v>27</v>
      </c>
    </row>
    <row r="400" spans="2:14">
      <c r="B400" s="12">
        <v>46360</v>
      </c>
      <c r="C400" s="9"/>
      <c r="D400" s="11"/>
      <c r="E400" s="11"/>
      <c r="F400" s="11"/>
      <c r="G400" s="10"/>
      <c r="H400" s="11"/>
      <c r="I400" s="11"/>
      <c r="J400" s="11"/>
      <c r="K400" s="10"/>
      <c r="L400" s="9"/>
      <c r="M400" s="8"/>
      <c r="N400" s="146" t="s">
        <v>26</v>
      </c>
    </row>
    <row r="401" spans="2:14">
      <c r="B401" s="12">
        <v>46361</v>
      </c>
      <c r="C401" s="9"/>
      <c r="D401" s="11"/>
      <c r="E401" s="11"/>
      <c r="F401" s="11"/>
      <c r="G401" s="10"/>
      <c r="H401" s="11"/>
      <c r="I401" s="11"/>
      <c r="J401" s="11"/>
      <c r="K401" s="10"/>
      <c r="L401" s="9"/>
      <c r="M401" s="8"/>
      <c r="N401" s="146" t="s">
        <v>25</v>
      </c>
    </row>
    <row r="402" spans="2:14">
      <c r="B402" s="12">
        <v>46362</v>
      </c>
      <c r="C402" s="9"/>
      <c r="D402" s="11"/>
      <c r="E402" s="11"/>
      <c r="F402" s="11"/>
      <c r="G402" s="10"/>
      <c r="H402" s="11"/>
      <c r="I402" s="11"/>
      <c r="J402" s="11"/>
      <c r="K402" s="10"/>
      <c r="L402" s="9"/>
      <c r="M402" s="8"/>
      <c r="N402" s="146" t="s">
        <v>24</v>
      </c>
    </row>
    <row r="403" spans="2:14">
      <c r="B403" s="12">
        <v>46363</v>
      </c>
      <c r="C403" s="9"/>
      <c r="D403" s="11"/>
      <c r="E403" s="11"/>
      <c r="F403" s="11"/>
      <c r="G403" s="10"/>
      <c r="H403" s="11"/>
      <c r="I403" s="11"/>
      <c r="J403" s="11"/>
      <c r="K403" s="10"/>
      <c r="L403" s="9"/>
      <c r="M403" s="8"/>
      <c r="N403" s="146" t="s">
        <v>23</v>
      </c>
    </row>
    <row r="404" spans="2:14">
      <c r="B404" s="12">
        <v>46364</v>
      </c>
      <c r="C404" s="9"/>
      <c r="D404" s="11"/>
      <c r="E404" s="11"/>
      <c r="F404" s="11"/>
      <c r="G404" s="10"/>
      <c r="H404" s="11"/>
      <c r="I404" s="11"/>
      <c r="J404" s="11"/>
      <c r="K404" s="10"/>
      <c r="L404" s="9"/>
      <c r="M404" s="8"/>
      <c r="N404" s="146" t="s">
        <v>22</v>
      </c>
    </row>
    <row r="405" spans="2:14">
      <c r="B405" s="12">
        <v>46365</v>
      </c>
      <c r="C405" s="9"/>
      <c r="D405" s="11"/>
      <c r="E405" s="11"/>
      <c r="F405" s="11"/>
      <c r="G405" s="10"/>
      <c r="H405" s="11"/>
      <c r="I405" s="11"/>
      <c r="J405" s="11"/>
      <c r="K405" s="10"/>
      <c r="L405" s="9"/>
      <c r="M405" s="8"/>
      <c r="N405" s="146" t="s">
        <v>21</v>
      </c>
    </row>
    <row r="406" spans="2:14">
      <c r="B406" s="12">
        <v>46366</v>
      </c>
      <c r="C406" s="9"/>
      <c r="D406" s="11"/>
      <c r="E406" s="11"/>
      <c r="F406" s="11"/>
      <c r="G406" s="10"/>
      <c r="H406" s="11"/>
      <c r="I406" s="11"/>
      <c r="J406" s="11"/>
      <c r="K406" s="10"/>
      <c r="L406" s="9"/>
      <c r="M406" s="8"/>
      <c r="N406" s="146" t="s">
        <v>20</v>
      </c>
    </row>
    <row r="407" spans="2:14">
      <c r="B407" s="12">
        <v>46367</v>
      </c>
      <c r="C407" s="9"/>
      <c r="D407" s="11"/>
      <c r="E407" s="11"/>
      <c r="F407" s="11"/>
      <c r="G407" s="10"/>
      <c r="H407" s="11"/>
      <c r="I407" s="11"/>
      <c r="J407" s="11"/>
      <c r="K407" s="10"/>
      <c r="L407" s="9"/>
      <c r="M407" s="8"/>
      <c r="N407" s="146" t="s">
        <v>19</v>
      </c>
    </row>
    <row r="408" spans="2:14">
      <c r="B408" s="12">
        <v>46368</v>
      </c>
      <c r="C408" s="9"/>
      <c r="D408" s="11"/>
      <c r="E408" s="11"/>
      <c r="F408" s="11"/>
      <c r="G408" s="10"/>
      <c r="H408" s="11"/>
      <c r="I408" s="11"/>
      <c r="J408" s="11"/>
      <c r="K408" s="10"/>
      <c r="L408" s="9"/>
      <c r="M408" s="8"/>
      <c r="N408" s="146" t="s">
        <v>18</v>
      </c>
    </row>
    <row r="409" spans="2:14">
      <c r="B409" s="12">
        <v>46369</v>
      </c>
      <c r="C409" s="9"/>
      <c r="D409" s="11"/>
      <c r="E409" s="11"/>
      <c r="F409" s="11"/>
      <c r="G409" s="10"/>
      <c r="H409" s="11"/>
      <c r="I409" s="11"/>
      <c r="J409" s="11"/>
      <c r="K409" s="10"/>
      <c r="L409" s="9"/>
      <c r="M409" s="8"/>
      <c r="N409" s="146" t="s">
        <v>17</v>
      </c>
    </row>
    <row r="410" spans="2:14">
      <c r="B410" s="12">
        <v>46370</v>
      </c>
      <c r="C410" s="9"/>
      <c r="D410" s="11"/>
      <c r="E410" s="11"/>
      <c r="F410" s="11"/>
      <c r="G410" s="10"/>
      <c r="H410" s="11"/>
      <c r="I410" s="11"/>
      <c r="J410" s="11"/>
      <c r="K410" s="10"/>
      <c r="L410" s="9"/>
      <c r="M410" s="8"/>
      <c r="N410" s="146" t="s">
        <v>16</v>
      </c>
    </row>
    <row r="411" spans="2:14">
      <c r="B411" s="12">
        <v>46371</v>
      </c>
      <c r="C411" s="9"/>
      <c r="D411" s="11"/>
      <c r="E411" s="11"/>
      <c r="F411" s="11"/>
      <c r="G411" s="10"/>
      <c r="H411" s="11"/>
      <c r="I411" s="11"/>
      <c r="J411" s="11"/>
      <c r="K411" s="10"/>
      <c r="L411" s="9"/>
      <c r="M411" s="8"/>
      <c r="N411" s="146" t="s">
        <v>15</v>
      </c>
    </row>
    <row r="412" spans="2:14">
      <c r="B412" s="12">
        <v>46372</v>
      </c>
      <c r="C412" s="9"/>
      <c r="D412" s="11"/>
      <c r="E412" s="11"/>
      <c r="F412" s="11"/>
      <c r="G412" s="10"/>
      <c r="H412" s="11"/>
      <c r="I412" s="11"/>
      <c r="J412" s="11"/>
      <c r="K412" s="10"/>
      <c r="L412" s="9"/>
      <c r="M412" s="8"/>
      <c r="N412" s="146" t="s">
        <v>14</v>
      </c>
    </row>
    <row r="413" spans="2:14">
      <c r="B413" s="12">
        <v>46373</v>
      </c>
      <c r="C413" s="9"/>
      <c r="D413" s="11"/>
      <c r="E413" s="11"/>
      <c r="F413" s="11"/>
      <c r="G413" s="10"/>
      <c r="H413" s="11"/>
      <c r="I413" s="11"/>
      <c r="J413" s="11"/>
      <c r="K413" s="10"/>
      <c r="L413" s="9"/>
      <c r="M413" s="8"/>
      <c r="N413" s="146" t="s">
        <v>13</v>
      </c>
    </row>
    <row r="414" spans="2:14">
      <c r="B414" s="12">
        <v>46374</v>
      </c>
      <c r="C414" s="9"/>
      <c r="D414" s="11"/>
      <c r="E414" s="11"/>
      <c r="F414" s="11"/>
      <c r="G414" s="10"/>
      <c r="H414" s="11"/>
      <c r="I414" s="11"/>
      <c r="J414" s="11"/>
      <c r="K414" s="10"/>
      <c r="L414" s="9"/>
      <c r="M414" s="8"/>
      <c r="N414" s="146" t="s">
        <v>12</v>
      </c>
    </row>
    <row r="415" spans="2:14">
      <c r="B415" s="12">
        <v>46375</v>
      </c>
      <c r="C415" s="9"/>
      <c r="D415" s="11"/>
      <c r="E415" s="11"/>
      <c r="F415" s="11"/>
      <c r="G415" s="10"/>
      <c r="H415" s="11"/>
      <c r="I415" s="11"/>
      <c r="J415" s="11"/>
      <c r="K415" s="10"/>
      <c r="L415" s="9"/>
      <c r="M415" s="8"/>
      <c r="N415" s="146" t="s">
        <v>11</v>
      </c>
    </row>
    <row r="416" spans="2:14">
      <c r="B416" s="12">
        <v>46376</v>
      </c>
      <c r="C416" s="9"/>
      <c r="D416" s="11"/>
      <c r="E416" s="11"/>
      <c r="F416" s="11"/>
      <c r="G416" s="10"/>
      <c r="H416" s="11"/>
      <c r="I416" s="11"/>
      <c r="J416" s="11"/>
      <c r="K416" s="10"/>
      <c r="L416" s="9"/>
      <c r="M416" s="8"/>
      <c r="N416" s="146" t="s">
        <v>10</v>
      </c>
    </row>
    <row r="417" spans="2:14">
      <c r="B417" s="12">
        <v>46377</v>
      </c>
      <c r="C417" s="9"/>
      <c r="D417" s="11"/>
      <c r="E417" s="11"/>
      <c r="F417" s="11"/>
      <c r="G417" s="10"/>
      <c r="H417" s="11"/>
      <c r="I417" s="11"/>
      <c r="J417" s="11"/>
      <c r="K417" s="10"/>
      <c r="L417" s="9"/>
      <c r="M417" s="8"/>
      <c r="N417" s="146" t="s">
        <v>9</v>
      </c>
    </row>
    <row r="418" spans="2:14">
      <c r="B418" s="12">
        <v>46378</v>
      </c>
      <c r="C418" s="9"/>
      <c r="D418" s="11"/>
      <c r="E418" s="11"/>
      <c r="F418" s="11"/>
      <c r="G418" s="10"/>
      <c r="H418" s="11"/>
      <c r="I418" s="11"/>
      <c r="J418" s="11"/>
      <c r="K418" s="10"/>
      <c r="L418" s="9"/>
      <c r="M418" s="8"/>
      <c r="N418" s="146" t="s">
        <v>8</v>
      </c>
    </row>
    <row r="419" spans="2:14">
      <c r="B419" s="12">
        <v>46379</v>
      </c>
      <c r="C419" s="9"/>
      <c r="D419" s="11"/>
      <c r="E419" s="11"/>
      <c r="F419" s="11"/>
      <c r="G419" s="10"/>
      <c r="H419" s="11"/>
      <c r="I419" s="11"/>
      <c r="J419" s="11"/>
      <c r="K419" s="10"/>
      <c r="L419" s="9"/>
      <c r="M419" s="8"/>
      <c r="N419" s="146" t="s">
        <v>7</v>
      </c>
    </row>
    <row r="420" spans="2:14">
      <c r="B420" s="12">
        <v>46380</v>
      </c>
      <c r="C420" s="9"/>
      <c r="D420" s="11"/>
      <c r="E420" s="11"/>
      <c r="F420" s="11"/>
      <c r="G420" s="10"/>
      <c r="H420" s="11"/>
      <c r="I420" s="11"/>
      <c r="J420" s="11"/>
      <c r="K420" s="10"/>
      <c r="L420" s="9"/>
      <c r="M420" s="8"/>
      <c r="N420" s="146" t="s">
        <v>6</v>
      </c>
    </row>
    <row r="421" spans="2:14">
      <c r="B421" s="12">
        <v>46381</v>
      </c>
      <c r="C421" s="9"/>
      <c r="D421" s="11"/>
      <c r="E421" s="11"/>
      <c r="F421" s="11"/>
      <c r="G421" s="10"/>
      <c r="H421" s="11"/>
      <c r="I421" s="11"/>
      <c r="J421" s="11"/>
      <c r="K421" s="10"/>
      <c r="L421" s="9"/>
      <c r="M421" s="8"/>
      <c r="N421" s="146" t="s">
        <v>5</v>
      </c>
    </row>
    <row r="422" spans="2:14">
      <c r="B422" s="12">
        <v>46382</v>
      </c>
      <c r="C422" s="9"/>
      <c r="D422" s="11"/>
      <c r="E422" s="11"/>
      <c r="F422" s="11"/>
      <c r="G422" s="10"/>
      <c r="H422" s="11"/>
      <c r="I422" s="11"/>
      <c r="J422" s="11"/>
      <c r="K422" s="10"/>
      <c r="L422" s="9"/>
      <c r="M422" s="8"/>
      <c r="N422" s="146" t="s">
        <v>4</v>
      </c>
    </row>
    <row r="423" spans="2:14">
      <c r="B423" s="12">
        <v>46383</v>
      </c>
      <c r="C423" s="9"/>
      <c r="D423" s="11"/>
      <c r="E423" s="11"/>
      <c r="F423" s="11"/>
      <c r="G423" s="10"/>
      <c r="H423" s="11"/>
      <c r="I423" s="11"/>
      <c r="J423" s="11"/>
      <c r="K423" s="10"/>
      <c r="L423" s="9"/>
      <c r="M423" s="8"/>
      <c r="N423" s="146" t="s">
        <v>3</v>
      </c>
    </row>
    <row r="424" spans="2:14">
      <c r="B424" s="12">
        <v>46384</v>
      </c>
      <c r="C424" s="9"/>
      <c r="D424" s="11"/>
      <c r="E424" s="11"/>
      <c r="F424" s="11"/>
      <c r="G424" s="10"/>
      <c r="H424" s="11"/>
      <c r="I424" s="11"/>
      <c r="J424" s="11"/>
      <c r="K424" s="10"/>
      <c r="L424" s="9"/>
      <c r="M424" s="8"/>
      <c r="N424" s="146" t="s">
        <v>2</v>
      </c>
    </row>
    <row r="425" spans="2:14">
      <c r="B425" s="12">
        <v>46385</v>
      </c>
      <c r="C425" s="9"/>
      <c r="D425" s="11"/>
      <c r="E425" s="11"/>
      <c r="F425" s="11"/>
      <c r="G425" s="10"/>
      <c r="H425" s="11"/>
      <c r="I425" s="11"/>
      <c r="J425" s="11"/>
      <c r="K425" s="10"/>
      <c r="L425" s="9"/>
      <c r="M425" s="8"/>
      <c r="N425" s="146" t="s">
        <v>1</v>
      </c>
    </row>
    <row r="426" spans="2:14">
      <c r="B426" s="12">
        <v>46386</v>
      </c>
      <c r="C426" s="9"/>
      <c r="D426" s="11"/>
      <c r="E426" s="11"/>
      <c r="F426" s="11"/>
      <c r="G426" s="10"/>
      <c r="H426" s="11"/>
      <c r="I426" s="11"/>
      <c r="J426" s="11"/>
      <c r="K426" s="10"/>
      <c r="L426" s="9"/>
      <c r="M426" s="8"/>
      <c r="N426" s="146" t="s">
        <v>59</v>
      </c>
    </row>
    <row r="427" spans="2:14" ht="17.25" thickBot="1">
      <c r="B427" s="6">
        <v>46387</v>
      </c>
      <c r="C427" s="3"/>
      <c r="D427" s="5"/>
      <c r="E427" s="5"/>
      <c r="F427" s="5"/>
      <c r="G427" s="4"/>
      <c r="H427" s="5"/>
      <c r="I427" s="5"/>
      <c r="J427" s="5"/>
      <c r="K427" s="4"/>
      <c r="L427" s="3"/>
      <c r="M427" s="2"/>
      <c r="N427" s="147" t="s">
        <v>72</v>
      </c>
    </row>
  </sheetData>
  <mergeCells count="60">
    <mergeCell ref="B291:B292"/>
    <mergeCell ref="C291:G291"/>
    <mergeCell ref="H291:K291"/>
    <mergeCell ref="L291:M291"/>
    <mergeCell ref="N291:N292"/>
    <mergeCell ref="B219:B220"/>
    <mergeCell ref="C219:G219"/>
    <mergeCell ref="H219:K219"/>
    <mergeCell ref="L219:M219"/>
    <mergeCell ref="N219:N220"/>
    <mergeCell ref="B146:B147"/>
    <mergeCell ref="C146:G146"/>
    <mergeCell ref="H146:K146"/>
    <mergeCell ref="L146:M146"/>
    <mergeCell ref="N146:N147"/>
    <mergeCell ref="B110:B111"/>
    <mergeCell ref="C110:G110"/>
    <mergeCell ref="H110:K110"/>
    <mergeCell ref="L110:M110"/>
    <mergeCell ref="N110:N111"/>
    <mergeCell ref="B39:B40"/>
    <mergeCell ref="C39:G39"/>
    <mergeCell ref="H39:K39"/>
    <mergeCell ref="L39:M39"/>
    <mergeCell ref="N39:N40"/>
    <mergeCell ref="N2:N3"/>
    <mergeCell ref="B2:B3"/>
    <mergeCell ref="C2:G2"/>
    <mergeCell ref="L2:M2"/>
    <mergeCell ref="H2:K2"/>
    <mergeCell ref="B73:B74"/>
    <mergeCell ref="C73:G73"/>
    <mergeCell ref="H73:K73"/>
    <mergeCell ref="L73:M73"/>
    <mergeCell ref="N73:N74"/>
    <mergeCell ref="B183:B184"/>
    <mergeCell ref="C183:G183"/>
    <mergeCell ref="H183:K183"/>
    <mergeCell ref="L183:M183"/>
    <mergeCell ref="N183:N184"/>
    <mergeCell ref="B256:B257"/>
    <mergeCell ref="C256:G256"/>
    <mergeCell ref="H256:K256"/>
    <mergeCell ref="L256:M256"/>
    <mergeCell ref="N256:N257"/>
    <mergeCell ref="B325:B326"/>
    <mergeCell ref="C325:G325"/>
    <mergeCell ref="H325:K325"/>
    <mergeCell ref="L325:M325"/>
    <mergeCell ref="N325:N326"/>
    <mergeCell ref="B360:B361"/>
    <mergeCell ref="C360:G360"/>
    <mergeCell ref="H360:K360"/>
    <mergeCell ref="L360:M360"/>
    <mergeCell ref="N360:N361"/>
    <mergeCell ref="B394:B395"/>
    <mergeCell ref="C394:G394"/>
    <mergeCell ref="H394:K394"/>
    <mergeCell ref="L394:M394"/>
    <mergeCell ref="N394:N39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82"/>
  <sheetViews>
    <sheetView zoomScale="55" zoomScaleNormal="55" zoomScaleSheetLayoutView="40" workbookViewId="0">
      <selection activeCell="F10" sqref="F10"/>
    </sheetView>
  </sheetViews>
  <sheetFormatPr defaultRowHeight="21"/>
  <cols>
    <col min="1" max="1" width="9" style="48"/>
    <col min="2" max="2" width="14.375" style="47" customWidth="1"/>
    <col min="3" max="3" width="14.25" style="47" customWidth="1"/>
    <col min="4" max="4" width="8.625" style="47" customWidth="1"/>
    <col min="5" max="35" width="11.125" style="47" customWidth="1"/>
    <col min="36" max="16384" width="9" style="47"/>
  </cols>
  <sheetData>
    <row r="1" spans="1:35" ht="21.75" thickBot="1"/>
    <row r="2" spans="1:35" ht="21" customHeight="1" thickBot="1">
      <c r="B2" s="71" t="s">
        <v>97</v>
      </c>
      <c r="C2" s="227" t="s">
        <v>108</v>
      </c>
      <c r="D2" s="228"/>
      <c r="E2" s="70">
        <v>46023</v>
      </c>
      <c r="F2" s="69">
        <v>46024</v>
      </c>
      <c r="G2" s="69">
        <v>46025</v>
      </c>
      <c r="H2" s="69">
        <v>46026</v>
      </c>
      <c r="I2" s="69">
        <v>46027</v>
      </c>
      <c r="J2" s="69">
        <v>46028</v>
      </c>
      <c r="K2" s="69">
        <v>46029</v>
      </c>
      <c r="L2" s="69">
        <v>46030</v>
      </c>
      <c r="M2" s="69">
        <v>46031</v>
      </c>
      <c r="N2" s="69">
        <v>46032</v>
      </c>
      <c r="O2" s="69">
        <v>46033</v>
      </c>
      <c r="P2" s="69">
        <v>46034</v>
      </c>
      <c r="Q2" s="69">
        <v>46035</v>
      </c>
      <c r="R2" s="69">
        <v>46036</v>
      </c>
      <c r="S2" s="69">
        <v>46037</v>
      </c>
      <c r="T2" s="69">
        <v>46038</v>
      </c>
      <c r="U2" s="69">
        <v>46039</v>
      </c>
      <c r="V2" s="69">
        <v>46040</v>
      </c>
      <c r="W2" s="69">
        <v>46041</v>
      </c>
      <c r="X2" s="69">
        <v>46042</v>
      </c>
      <c r="Y2" s="69">
        <v>46043</v>
      </c>
      <c r="Z2" s="69">
        <v>46044</v>
      </c>
      <c r="AA2" s="69">
        <v>46045</v>
      </c>
      <c r="AB2" s="69">
        <v>46046</v>
      </c>
      <c r="AC2" s="69">
        <v>46047</v>
      </c>
      <c r="AD2" s="69">
        <v>46048</v>
      </c>
      <c r="AE2" s="69">
        <v>46049</v>
      </c>
      <c r="AF2" s="69">
        <v>46050</v>
      </c>
      <c r="AG2" s="69">
        <v>46051</v>
      </c>
      <c r="AH2" s="69">
        <v>46052</v>
      </c>
      <c r="AI2" s="68">
        <v>46053</v>
      </c>
    </row>
    <row r="3" spans="1:35" ht="21" customHeight="1">
      <c r="A3" s="62"/>
      <c r="B3" s="67">
        <v>0</v>
      </c>
      <c r="C3" s="66" t="s">
        <v>95</v>
      </c>
      <c r="D3" s="60">
        <f>SUM(E3:AI3)</f>
        <v>259</v>
      </c>
      <c r="E3" s="65">
        <v>9</v>
      </c>
      <c r="F3" s="64">
        <v>0</v>
      </c>
      <c r="G3" s="64">
        <v>0</v>
      </c>
      <c r="H3" s="64">
        <v>0</v>
      </c>
      <c r="I3" s="64">
        <v>25</v>
      </c>
      <c r="J3" s="64">
        <v>11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20</v>
      </c>
      <c r="Q3" s="64">
        <v>20</v>
      </c>
      <c r="R3" s="64">
        <v>20</v>
      </c>
      <c r="S3" s="64">
        <v>15</v>
      </c>
      <c r="T3" s="64">
        <v>0</v>
      </c>
      <c r="U3" s="64">
        <v>0</v>
      </c>
      <c r="V3" s="64">
        <v>0</v>
      </c>
      <c r="W3" s="64">
        <v>20</v>
      </c>
      <c r="X3" s="64">
        <v>20</v>
      </c>
      <c r="Y3" s="64">
        <v>13</v>
      </c>
      <c r="Z3" s="64">
        <v>0</v>
      </c>
      <c r="AA3" s="64">
        <v>16</v>
      </c>
      <c r="AB3" s="64">
        <v>0</v>
      </c>
      <c r="AC3" s="64">
        <v>0</v>
      </c>
      <c r="AD3" s="64">
        <v>14</v>
      </c>
      <c r="AE3" s="64">
        <v>14</v>
      </c>
      <c r="AF3" s="64">
        <v>14</v>
      </c>
      <c r="AG3" s="64">
        <v>14</v>
      </c>
      <c r="AH3" s="64">
        <v>0</v>
      </c>
      <c r="AI3" s="63">
        <v>14</v>
      </c>
    </row>
    <row r="4" spans="1:35" ht="21" customHeight="1">
      <c r="A4" s="62"/>
      <c r="B4" s="56" t="s">
        <v>94</v>
      </c>
      <c r="C4" s="61" t="s">
        <v>93</v>
      </c>
      <c r="D4" s="60">
        <f>SUM(E4:AI4)</f>
        <v>0</v>
      </c>
      <c r="E4" s="53">
        <v>0</v>
      </c>
      <c r="F4" s="52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v>0</v>
      </c>
      <c r="AH4" s="52">
        <v>0</v>
      </c>
      <c r="AI4" s="51">
        <v>0</v>
      </c>
    </row>
    <row r="5" spans="1:35" ht="21" customHeight="1">
      <c r="A5" s="50"/>
      <c r="B5" s="59">
        <f>LOOKUP(1,1/(E5:AI5&lt;&gt;""),E5:AI5)</f>
        <v>1073</v>
      </c>
      <c r="C5" s="229" t="s">
        <v>92</v>
      </c>
      <c r="D5" s="230"/>
      <c r="E5" s="181">
        <v>823</v>
      </c>
      <c r="F5" s="52">
        <f>E5+F3-F4</f>
        <v>823</v>
      </c>
      <c r="G5" s="52">
        <f t="shared" ref="G5:AH5" si="0">F5+G3-G4</f>
        <v>823</v>
      </c>
      <c r="H5" s="52">
        <f t="shared" si="0"/>
        <v>823</v>
      </c>
      <c r="I5" s="52">
        <f t="shared" si="0"/>
        <v>848</v>
      </c>
      <c r="J5" s="52">
        <f t="shared" si="0"/>
        <v>859</v>
      </c>
      <c r="K5" s="52">
        <f t="shared" si="0"/>
        <v>859</v>
      </c>
      <c r="L5" s="52">
        <f t="shared" si="0"/>
        <v>859</v>
      </c>
      <c r="M5" s="52">
        <f t="shared" si="0"/>
        <v>859</v>
      </c>
      <c r="N5" s="52">
        <f t="shared" si="0"/>
        <v>859</v>
      </c>
      <c r="O5" s="52">
        <f t="shared" si="0"/>
        <v>859</v>
      </c>
      <c r="P5" s="52">
        <f t="shared" si="0"/>
        <v>879</v>
      </c>
      <c r="Q5" s="52">
        <f t="shared" si="0"/>
        <v>899</v>
      </c>
      <c r="R5" s="52">
        <f t="shared" si="0"/>
        <v>919</v>
      </c>
      <c r="S5" s="52">
        <f t="shared" si="0"/>
        <v>934</v>
      </c>
      <c r="T5" s="52">
        <f t="shared" si="0"/>
        <v>934</v>
      </c>
      <c r="U5" s="52">
        <f t="shared" si="0"/>
        <v>934</v>
      </c>
      <c r="V5" s="52">
        <f t="shared" si="0"/>
        <v>934</v>
      </c>
      <c r="W5" s="52">
        <f t="shared" si="0"/>
        <v>954</v>
      </c>
      <c r="X5" s="52">
        <f t="shared" si="0"/>
        <v>974</v>
      </c>
      <c r="Y5" s="52">
        <f t="shared" si="0"/>
        <v>987</v>
      </c>
      <c r="Z5" s="52">
        <f t="shared" si="0"/>
        <v>987</v>
      </c>
      <c r="AA5" s="52">
        <f t="shared" si="0"/>
        <v>1003</v>
      </c>
      <c r="AB5" s="52">
        <f t="shared" si="0"/>
        <v>1003</v>
      </c>
      <c r="AC5" s="52">
        <f t="shared" si="0"/>
        <v>1003</v>
      </c>
      <c r="AD5" s="52">
        <f t="shared" si="0"/>
        <v>1017</v>
      </c>
      <c r="AE5" s="52">
        <f t="shared" si="0"/>
        <v>1031</v>
      </c>
      <c r="AF5" s="52">
        <f t="shared" si="0"/>
        <v>1045</v>
      </c>
      <c r="AG5" s="52">
        <f t="shared" si="0"/>
        <v>1059</v>
      </c>
      <c r="AH5" s="52">
        <f t="shared" si="0"/>
        <v>1059</v>
      </c>
      <c r="AI5" s="52">
        <f>AH5+AI3-AI4</f>
        <v>1073</v>
      </c>
    </row>
    <row r="6" spans="1:35" ht="21" customHeight="1">
      <c r="A6" s="57"/>
      <c r="B6" s="56" t="s">
        <v>91</v>
      </c>
      <c r="C6" s="73" t="s">
        <v>90</v>
      </c>
      <c r="D6" s="60">
        <f>SUM(E6:AH6)</f>
        <v>312.08</v>
      </c>
      <c r="E6" s="53">
        <f t="array" ref="E6:AI6">TRANSPOSE('每日填寫-115年數據'!Z5:Z35)</f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63.26</v>
      </c>
      <c r="AE6" s="52">
        <v>63.1</v>
      </c>
      <c r="AF6" s="52">
        <v>60.96</v>
      </c>
      <c r="AG6" s="52">
        <v>61.8</v>
      </c>
      <c r="AH6" s="52">
        <v>62.96</v>
      </c>
      <c r="AI6" s="51">
        <v>0</v>
      </c>
    </row>
    <row r="7" spans="1:35" ht="21" customHeight="1" thickBot="1">
      <c r="A7" s="50"/>
      <c r="B7" s="72">
        <f>IFERROR(D6/D4*1000,)</f>
        <v>0</v>
      </c>
      <c r="C7" s="231" t="s">
        <v>89</v>
      </c>
      <c r="D7" s="232"/>
      <c r="E7" s="80">
        <f t="shared" ref="E7:AI7" si="1">IFERROR(E6/E4*1000,0)</f>
        <v>0</v>
      </c>
      <c r="F7" s="79">
        <f t="shared" si="1"/>
        <v>0</v>
      </c>
      <c r="G7" s="79">
        <f t="shared" si="1"/>
        <v>0</v>
      </c>
      <c r="H7" s="79">
        <f t="shared" si="1"/>
        <v>0</v>
      </c>
      <c r="I7" s="79">
        <f t="shared" si="1"/>
        <v>0</v>
      </c>
      <c r="J7" s="79">
        <f t="shared" si="1"/>
        <v>0</v>
      </c>
      <c r="K7" s="79">
        <f t="shared" si="1"/>
        <v>0</v>
      </c>
      <c r="L7" s="79">
        <f t="shared" si="1"/>
        <v>0</v>
      </c>
      <c r="M7" s="79">
        <f t="shared" si="1"/>
        <v>0</v>
      </c>
      <c r="N7" s="79">
        <f t="shared" si="1"/>
        <v>0</v>
      </c>
      <c r="O7" s="79">
        <f t="shared" si="1"/>
        <v>0</v>
      </c>
      <c r="P7" s="79">
        <f t="shared" si="1"/>
        <v>0</v>
      </c>
      <c r="Q7" s="79">
        <f t="shared" si="1"/>
        <v>0</v>
      </c>
      <c r="R7" s="79">
        <f t="shared" si="1"/>
        <v>0</v>
      </c>
      <c r="S7" s="79">
        <f t="shared" si="1"/>
        <v>0</v>
      </c>
      <c r="T7" s="79">
        <f t="shared" si="1"/>
        <v>0</v>
      </c>
      <c r="U7" s="79">
        <f t="shared" si="1"/>
        <v>0</v>
      </c>
      <c r="V7" s="79">
        <f t="shared" si="1"/>
        <v>0</v>
      </c>
      <c r="W7" s="79">
        <f t="shared" si="1"/>
        <v>0</v>
      </c>
      <c r="X7" s="79">
        <f t="shared" si="1"/>
        <v>0</v>
      </c>
      <c r="Y7" s="79">
        <f t="shared" si="1"/>
        <v>0</v>
      </c>
      <c r="Z7" s="79">
        <f t="shared" si="1"/>
        <v>0</v>
      </c>
      <c r="AA7" s="79">
        <f t="shared" si="1"/>
        <v>0</v>
      </c>
      <c r="AB7" s="79">
        <f t="shared" si="1"/>
        <v>0</v>
      </c>
      <c r="AC7" s="79">
        <f t="shared" si="1"/>
        <v>0</v>
      </c>
      <c r="AD7" s="79">
        <f t="shared" si="1"/>
        <v>0</v>
      </c>
      <c r="AE7" s="79">
        <f t="shared" si="1"/>
        <v>0</v>
      </c>
      <c r="AF7" s="79">
        <f t="shared" si="1"/>
        <v>0</v>
      </c>
      <c r="AG7" s="79">
        <f t="shared" si="1"/>
        <v>0</v>
      </c>
      <c r="AH7" s="79">
        <f t="shared" si="1"/>
        <v>0</v>
      </c>
      <c r="AI7" s="78">
        <f t="shared" si="1"/>
        <v>0</v>
      </c>
    </row>
    <row r="8" spans="1:35" ht="21" customHeight="1" thickBot="1">
      <c r="B8" s="71" t="s">
        <v>97</v>
      </c>
      <c r="C8" s="227" t="s">
        <v>107</v>
      </c>
      <c r="D8" s="228"/>
      <c r="E8" s="70">
        <v>46054</v>
      </c>
      <c r="F8" s="69">
        <v>46055</v>
      </c>
      <c r="G8" s="69">
        <v>46056</v>
      </c>
      <c r="H8" s="69">
        <v>46057</v>
      </c>
      <c r="I8" s="69">
        <v>46058</v>
      </c>
      <c r="J8" s="69">
        <v>46059</v>
      </c>
      <c r="K8" s="69">
        <v>46060</v>
      </c>
      <c r="L8" s="69">
        <v>46061</v>
      </c>
      <c r="M8" s="69">
        <v>46062</v>
      </c>
      <c r="N8" s="69">
        <v>46063</v>
      </c>
      <c r="O8" s="69">
        <v>46064</v>
      </c>
      <c r="P8" s="69">
        <v>46065</v>
      </c>
      <c r="Q8" s="69">
        <v>46066</v>
      </c>
      <c r="R8" s="69">
        <v>46067</v>
      </c>
      <c r="S8" s="69">
        <v>46068</v>
      </c>
      <c r="T8" s="69">
        <v>46069</v>
      </c>
      <c r="U8" s="69">
        <v>46070</v>
      </c>
      <c r="V8" s="69">
        <v>46071</v>
      </c>
      <c r="W8" s="69">
        <v>46072</v>
      </c>
      <c r="X8" s="69">
        <v>46073</v>
      </c>
      <c r="Y8" s="69">
        <v>46074</v>
      </c>
      <c r="Z8" s="69">
        <v>46075</v>
      </c>
      <c r="AA8" s="69">
        <v>46076</v>
      </c>
      <c r="AB8" s="69">
        <v>46077</v>
      </c>
      <c r="AC8" s="69">
        <v>46078</v>
      </c>
      <c r="AD8" s="69">
        <v>46079</v>
      </c>
      <c r="AE8" s="69">
        <v>46080</v>
      </c>
      <c r="AF8" s="69">
        <v>46081</v>
      </c>
      <c r="AG8" s="238"/>
      <c r="AH8" s="238"/>
      <c r="AI8" s="239"/>
    </row>
    <row r="9" spans="1:35" ht="21" customHeight="1">
      <c r="A9" s="62"/>
      <c r="B9" s="67">
        <v>9</v>
      </c>
      <c r="C9" s="66" t="s">
        <v>95</v>
      </c>
      <c r="D9" s="60">
        <f>SUM(E9:AI9)</f>
        <v>0</v>
      </c>
      <c r="E9" s="65">
        <v>0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240"/>
      <c r="AH9" s="240"/>
      <c r="AI9" s="241"/>
    </row>
    <row r="10" spans="1:35" ht="21" customHeight="1">
      <c r="A10" s="62"/>
      <c r="B10" s="56" t="s">
        <v>94</v>
      </c>
      <c r="C10" s="61" t="s">
        <v>93</v>
      </c>
      <c r="D10" s="60">
        <f>SUM(E10:AI10)</f>
        <v>0</v>
      </c>
      <c r="E10" s="53">
        <v>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240"/>
      <c r="AH10" s="240"/>
      <c r="AI10" s="241"/>
    </row>
    <row r="11" spans="1:35" ht="21" customHeight="1">
      <c r="A11" s="50"/>
      <c r="B11" s="59" t="e">
        <f>LOOKUP(1,1/(E11:AI11&lt;&gt;""),E11:AI11)</f>
        <v>#N/A</v>
      </c>
      <c r="C11" s="229" t="s">
        <v>92</v>
      </c>
      <c r="D11" s="230"/>
      <c r="E11" s="53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240"/>
      <c r="AH11" s="240"/>
      <c r="AI11" s="241"/>
    </row>
    <row r="12" spans="1:35" ht="21" customHeight="1">
      <c r="A12" s="57"/>
      <c r="B12" s="56" t="s">
        <v>91</v>
      </c>
      <c r="C12" s="73" t="s">
        <v>90</v>
      </c>
      <c r="D12" s="60">
        <f>SUM(E12:AG12)</f>
        <v>0</v>
      </c>
      <c r="E12" s="53">
        <f t="array" ref="E12:AF12">TRANSPOSE('每日填寫-115年數據'!Z40:Z67)</f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52">
        <v>0</v>
      </c>
      <c r="AD12" s="52">
        <v>0</v>
      </c>
      <c r="AE12" s="52">
        <v>0</v>
      </c>
      <c r="AF12" s="52">
        <v>0</v>
      </c>
      <c r="AG12" s="240"/>
      <c r="AH12" s="240"/>
      <c r="AI12" s="241"/>
    </row>
    <row r="13" spans="1:35" ht="21" customHeight="1" thickBot="1">
      <c r="A13" s="50"/>
      <c r="B13" s="72">
        <f>IFERROR(D12/D10*1000,0)</f>
        <v>0</v>
      </c>
      <c r="C13" s="231" t="s">
        <v>89</v>
      </c>
      <c r="D13" s="232"/>
      <c r="E13" s="80">
        <f t="shared" ref="E13:AF13" si="2">IFERROR(E12/E10*1000,0)</f>
        <v>0</v>
      </c>
      <c r="F13" s="79">
        <f t="shared" si="2"/>
        <v>0</v>
      </c>
      <c r="G13" s="79">
        <f t="shared" si="2"/>
        <v>0</v>
      </c>
      <c r="H13" s="79">
        <f t="shared" si="2"/>
        <v>0</v>
      </c>
      <c r="I13" s="79">
        <f t="shared" si="2"/>
        <v>0</v>
      </c>
      <c r="J13" s="79">
        <f t="shared" si="2"/>
        <v>0</v>
      </c>
      <c r="K13" s="79">
        <f t="shared" si="2"/>
        <v>0</v>
      </c>
      <c r="L13" s="79">
        <f t="shared" si="2"/>
        <v>0</v>
      </c>
      <c r="M13" s="79">
        <f t="shared" si="2"/>
        <v>0</v>
      </c>
      <c r="N13" s="79">
        <f t="shared" si="2"/>
        <v>0</v>
      </c>
      <c r="O13" s="79">
        <f t="shared" si="2"/>
        <v>0</v>
      </c>
      <c r="P13" s="79">
        <f t="shared" si="2"/>
        <v>0</v>
      </c>
      <c r="Q13" s="79">
        <f t="shared" si="2"/>
        <v>0</v>
      </c>
      <c r="R13" s="79">
        <f t="shared" si="2"/>
        <v>0</v>
      </c>
      <c r="S13" s="79">
        <f t="shared" si="2"/>
        <v>0</v>
      </c>
      <c r="T13" s="79">
        <f t="shared" si="2"/>
        <v>0</v>
      </c>
      <c r="U13" s="79">
        <f t="shared" si="2"/>
        <v>0</v>
      </c>
      <c r="V13" s="79">
        <f t="shared" si="2"/>
        <v>0</v>
      </c>
      <c r="W13" s="79">
        <f t="shared" si="2"/>
        <v>0</v>
      </c>
      <c r="X13" s="79">
        <f t="shared" si="2"/>
        <v>0</v>
      </c>
      <c r="Y13" s="79">
        <f t="shared" si="2"/>
        <v>0</v>
      </c>
      <c r="Z13" s="79">
        <f t="shared" si="2"/>
        <v>0</v>
      </c>
      <c r="AA13" s="79">
        <f t="shared" si="2"/>
        <v>0</v>
      </c>
      <c r="AB13" s="79">
        <f t="shared" si="2"/>
        <v>0</v>
      </c>
      <c r="AC13" s="79">
        <f t="shared" si="2"/>
        <v>0</v>
      </c>
      <c r="AD13" s="79">
        <f t="shared" si="2"/>
        <v>0</v>
      </c>
      <c r="AE13" s="79">
        <f t="shared" si="2"/>
        <v>0</v>
      </c>
      <c r="AF13" s="79">
        <f t="shared" si="2"/>
        <v>0</v>
      </c>
      <c r="AG13" s="242"/>
      <c r="AH13" s="242"/>
      <c r="AI13" s="243"/>
    </row>
    <row r="14" spans="1:35" ht="21" customHeight="1" thickBot="1">
      <c r="B14" s="71" t="s">
        <v>97</v>
      </c>
      <c r="C14" s="227" t="s">
        <v>106</v>
      </c>
      <c r="D14" s="228"/>
      <c r="E14" s="70">
        <v>46082</v>
      </c>
      <c r="F14" s="69">
        <v>46083</v>
      </c>
      <c r="G14" s="69">
        <v>46084</v>
      </c>
      <c r="H14" s="69">
        <v>46085</v>
      </c>
      <c r="I14" s="69">
        <v>46086</v>
      </c>
      <c r="J14" s="69">
        <v>46087</v>
      </c>
      <c r="K14" s="69">
        <v>46088</v>
      </c>
      <c r="L14" s="69">
        <v>46089</v>
      </c>
      <c r="M14" s="69">
        <v>46090</v>
      </c>
      <c r="N14" s="69">
        <v>46091</v>
      </c>
      <c r="O14" s="69">
        <v>46092</v>
      </c>
      <c r="P14" s="69">
        <v>46093</v>
      </c>
      <c r="Q14" s="69">
        <v>46094</v>
      </c>
      <c r="R14" s="69">
        <v>46095</v>
      </c>
      <c r="S14" s="69">
        <v>46096</v>
      </c>
      <c r="T14" s="69">
        <v>46097</v>
      </c>
      <c r="U14" s="69">
        <v>46098</v>
      </c>
      <c r="V14" s="69">
        <v>46099</v>
      </c>
      <c r="W14" s="69">
        <v>46100</v>
      </c>
      <c r="X14" s="69">
        <v>46101</v>
      </c>
      <c r="Y14" s="69">
        <v>46102</v>
      </c>
      <c r="Z14" s="69">
        <v>46103</v>
      </c>
      <c r="AA14" s="69">
        <v>46104</v>
      </c>
      <c r="AB14" s="69">
        <v>46105</v>
      </c>
      <c r="AC14" s="69">
        <v>46106</v>
      </c>
      <c r="AD14" s="69">
        <v>46107</v>
      </c>
      <c r="AE14" s="69">
        <v>46108</v>
      </c>
      <c r="AF14" s="69">
        <v>46109</v>
      </c>
      <c r="AG14" s="69">
        <v>46110</v>
      </c>
      <c r="AH14" s="69">
        <v>46111</v>
      </c>
      <c r="AI14" s="68">
        <v>46112</v>
      </c>
    </row>
    <row r="15" spans="1:35" ht="21" customHeight="1">
      <c r="A15" s="62"/>
      <c r="B15" s="67">
        <v>0</v>
      </c>
      <c r="C15" s="66" t="s">
        <v>95</v>
      </c>
      <c r="D15" s="60">
        <f>SUM(E15:AI15)</f>
        <v>0</v>
      </c>
      <c r="E15" s="65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3"/>
    </row>
    <row r="16" spans="1:35" ht="21" customHeight="1">
      <c r="A16" s="62"/>
      <c r="B16" s="56" t="s">
        <v>94</v>
      </c>
      <c r="C16" s="61" t="s">
        <v>93</v>
      </c>
      <c r="D16" s="60">
        <f>SUM(E16:AI16)</f>
        <v>0</v>
      </c>
      <c r="E16" s="53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1"/>
    </row>
    <row r="17" spans="1:35" ht="21" customHeight="1">
      <c r="A17" s="50"/>
      <c r="B17" s="59" t="e">
        <f>LOOKUP(1,1/(E17:AI17&lt;&gt;""),E17:AI17)</f>
        <v>#N/A</v>
      </c>
      <c r="C17" s="229" t="s">
        <v>92</v>
      </c>
      <c r="D17" s="230"/>
      <c r="E17" s="53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8"/>
    </row>
    <row r="18" spans="1:35" ht="21" customHeight="1">
      <c r="A18" s="57"/>
      <c r="B18" s="56" t="s">
        <v>91</v>
      </c>
      <c r="C18" s="73" t="s">
        <v>90</v>
      </c>
      <c r="D18" s="60">
        <f>SUM(E18:AI18)</f>
        <v>0</v>
      </c>
      <c r="E18" s="53">
        <f t="array" ref="E18:AI18">TRANSPOSE('每日填寫-115年數據'!Z72:Z102)</f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1">
        <v>0</v>
      </c>
    </row>
    <row r="19" spans="1:35" ht="21" customHeight="1" thickBot="1">
      <c r="A19" s="50"/>
      <c r="B19" s="72">
        <f>IFERROR(D18/D16*1000,0)</f>
        <v>0</v>
      </c>
      <c r="C19" s="231" t="s">
        <v>89</v>
      </c>
      <c r="D19" s="232"/>
      <c r="E19" s="80">
        <f t="shared" ref="E19:AI19" si="3">IFERROR(E18/E16*1000,0)</f>
        <v>0</v>
      </c>
      <c r="F19" s="79">
        <f t="shared" si="3"/>
        <v>0</v>
      </c>
      <c r="G19" s="79">
        <f t="shared" si="3"/>
        <v>0</v>
      </c>
      <c r="H19" s="79">
        <f t="shared" si="3"/>
        <v>0</v>
      </c>
      <c r="I19" s="79">
        <f t="shared" si="3"/>
        <v>0</v>
      </c>
      <c r="J19" s="79">
        <f t="shared" si="3"/>
        <v>0</v>
      </c>
      <c r="K19" s="79">
        <f t="shared" si="3"/>
        <v>0</v>
      </c>
      <c r="L19" s="79">
        <f t="shared" si="3"/>
        <v>0</v>
      </c>
      <c r="M19" s="79">
        <f t="shared" si="3"/>
        <v>0</v>
      </c>
      <c r="N19" s="79">
        <f t="shared" si="3"/>
        <v>0</v>
      </c>
      <c r="O19" s="79">
        <f t="shared" si="3"/>
        <v>0</v>
      </c>
      <c r="P19" s="79">
        <f t="shared" si="3"/>
        <v>0</v>
      </c>
      <c r="Q19" s="79">
        <f t="shared" si="3"/>
        <v>0</v>
      </c>
      <c r="R19" s="79">
        <f t="shared" si="3"/>
        <v>0</v>
      </c>
      <c r="S19" s="79">
        <f t="shared" si="3"/>
        <v>0</v>
      </c>
      <c r="T19" s="79">
        <f t="shared" si="3"/>
        <v>0</v>
      </c>
      <c r="U19" s="79">
        <f t="shared" si="3"/>
        <v>0</v>
      </c>
      <c r="V19" s="79">
        <f t="shared" si="3"/>
        <v>0</v>
      </c>
      <c r="W19" s="79">
        <f t="shared" si="3"/>
        <v>0</v>
      </c>
      <c r="X19" s="79">
        <f t="shared" si="3"/>
        <v>0</v>
      </c>
      <c r="Y19" s="79">
        <f t="shared" si="3"/>
        <v>0</v>
      </c>
      <c r="Z19" s="79">
        <f t="shared" si="3"/>
        <v>0</v>
      </c>
      <c r="AA19" s="79">
        <f t="shared" si="3"/>
        <v>0</v>
      </c>
      <c r="AB19" s="79">
        <f t="shared" si="3"/>
        <v>0</v>
      </c>
      <c r="AC19" s="79">
        <f t="shared" si="3"/>
        <v>0</v>
      </c>
      <c r="AD19" s="79">
        <f t="shared" si="3"/>
        <v>0</v>
      </c>
      <c r="AE19" s="79">
        <f t="shared" si="3"/>
        <v>0</v>
      </c>
      <c r="AF19" s="79">
        <f t="shared" si="3"/>
        <v>0</v>
      </c>
      <c r="AG19" s="79">
        <f t="shared" si="3"/>
        <v>0</v>
      </c>
      <c r="AH19" s="79">
        <f t="shared" si="3"/>
        <v>0</v>
      </c>
      <c r="AI19" s="78">
        <f t="shared" si="3"/>
        <v>0</v>
      </c>
    </row>
    <row r="20" spans="1:35" ht="21" customHeight="1" thickBot="1">
      <c r="B20" s="71" t="s">
        <v>97</v>
      </c>
      <c r="C20" s="227" t="s">
        <v>105</v>
      </c>
      <c r="D20" s="228"/>
      <c r="E20" s="70">
        <v>46113</v>
      </c>
      <c r="F20" s="69">
        <v>46114</v>
      </c>
      <c r="G20" s="69">
        <v>46115</v>
      </c>
      <c r="H20" s="69">
        <v>46116</v>
      </c>
      <c r="I20" s="69">
        <v>46117</v>
      </c>
      <c r="J20" s="69">
        <v>46118</v>
      </c>
      <c r="K20" s="69">
        <v>46119</v>
      </c>
      <c r="L20" s="69">
        <v>46120</v>
      </c>
      <c r="M20" s="69">
        <v>46121</v>
      </c>
      <c r="N20" s="69">
        <v>46122</v>
      </c>
      <c r="O20" s="69">
        <v>46123</v>
      </c>
      <c r="P20" s="69">
        <v>46124</v>
      </c>
      <c r="Q20" s="69">
        <v>46125</v>
      </c>
      <c r="R20" s="69">
        <v>46126</v>
      </c>
      <c r="S20" s="69">
        <v>46127</v>
      </c>
      <c r="T20" s="69">
        <v>46128</v>
      </c>
      <c r="U20" s="69">
        <v>46129</v>
      </c>
      <c r="V20" s="69">
        <v>46130</v>
      </c>
      <c r="W20" s="69">
        <v>46131</v>
      </c>
      <c r="X20" s="69">
        <v>46132</v>
      </c>
      <c r="Y20" s="69">
        <v>46133</v>
      </c>
      <c r="Z20" s="69">
        <v>46134</v>
      </c>
      <c r="AA20" s="69">
        <v>46135</v>
      </c>
      <c r="AB20" s="69">
        <v>46136</v>
      </c>
      <c r="AC20" s="69">
        <v>46137</v>
      </c>
      <c r="AD20" s="69">
        <v>46138</v>
      </c>
      <c r="AE20" s="69">
        <v>46139</v>
      </c>
      <c r="AF20" s="69">
        <v>46140</v>
      </c>
      <c r="AG20" s="69">
        <v>46141</v>
      </c>
      <c r="AH20" s="69">
        <v>46142</v>
      </c>
      <c r="AI20" s="233"/>
    </row>
    <row r="21" spans="1:35" ht="21" customHeight="1">
      <c r="A21" s="62"/>
      <c r="B21" s="67">
        <v>0</v>
      </c>
      <c r="C21" s="66" t="s">
        <v>95</v>
      </c>
      <c r="D21" s="60">
        <f>SUM(E21:AI21)</f>
        <v>0</v>
      </c>
      <c r="E21" s="65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234"/>
    </row>
    <row r="22" spans="1:35" ht="21" customHeight="1">
      <c r="A22" s="62"/>
      <c r="B22" s="56" t="s">
        <v>94</v>
      </c>
      <c r="C22" s="61" t="s">
        <v>93</v>
      </c>
      <c r="D22" s="60">
        <f>SUM(E22:AI22)</f>
        <v>0</v>
      </c>
      <c r="E22" s="53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234"/>
    </row>
    <row r="23" spans="1:35" ht="21" customHeight="1">
      <c r="A23" s="50"/>
      <c r="B23" s="59" t="e">
        <f>LOOKUP(1,1/(E23:AI23&lt;&gt;""),E23:AI23)</f>
        <v>#N/A</v>
      </c>
      <c r="C23" s="229" t="s">
        <v>92</v>
      </c>
      <c r="D23" s="230"/>
      <c r="E23" s="53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124"/>
      <c r="AI23" s="234"/>
    </row>
    <row r="24" spans="1:35" ht="21" customHeight="1">
      <c r="A24" s="57"/>
      <c r="B24" s="56" t="s">
        <v>91</v>
      </c>
      <c r="C24" s="73" t="s">
        <v>90</v>
      </c>
      <c r="D24" s="60">
        <f>SUM(E24:AH24)</f>
        <v>0</v>
      </c>
      <c r="E24" s="128">
        <f t="array" ref="E24:AH24">TRANSPOSE('每日填寫-115年數據'!Z107:Z136)</f>
        <v>0</v>
      </c>
      <c r="F24" s="129">
        <v>0</v>
      </c>
      <c r="G24" s="129">
        <v>0</v>
      </c>
      <c r="H24" s="129">
        <v>0</v>
      </c>
      <c r="I24" s="129">
        <v>0</v>
      </c>
      <c r="J24" s="129">
        <v>0</v>
      </c>
      <c r="K24" s="129">
        <v>0</v>
      </c>
      <c r="L24" s="129">
        <v>0</v>
      </c>
      <c r="M24" s="129">
        <v>0</v>
      </c>
      <c r="N24" s="129">
        <v>0</v>
      </c>
      <c r="O24" s="129">
        <v>0</v>
      </c>
      <c r="P24" s="129">
        <v>0</v>
      </c>
      <c r="Q24" s="129">
        <v>0</v>
      </c>
      <c r="R24" s="129">
        <v>0</v>
      </c>
      <c r="S24" s="129">
        <v>0</v>
      </c>
      <c r="T24" s="129">
        <v>0</v>
      </c>
      <c r="U24" s="129">
        <v>0</v>
      </c>
      <c r="V24" s="129">
        <v>0</v>
      </c>
      <c r="W24" s="129">
        <v>0</v>
      </c>
      <c r="X24" s="129">
        <v>0</v>
      </c>
      <c r="Y24" s="129">
        <v>0</v>
      </c>
      <c r="Z24" s="129">
        <v>0</v>
      </c>
      <c r="AA24" s="129">
        <v>0</v>
      </c>
      <c r="AB24" s="129">
        <v>0</v>
      </c>
      <c r="AC24" s="129">
        <v>0</v>
      </c>
      <c r="AD24" s="129">
        <v>0</v>
      </c>
      <c r="AE24" s="129">
        <v>0</v>
      </c>
      <c r="AF24" s="129">
        <v>0</v>
      </c>
      <c r="AG24" s="129">
        <v>0</v>
      </c>
      <c r="AH24" s="129">
        <v>0</v>
      </c>
      <c r="AI24" s="234"/>
    </row>
    <row r="25" spans="1:35" ht="21" customHeight="1" thickBot="1">
      <c r="A25" s="50"/>
      <c r="B25" s="49">
        <f>IFERROR(D24/D22*1000,0)</f>
        <v>0</v>
      </c>
      <c r="C25" s="231" t="s">
        <v>89</v>
      </c>
      <c r="D25" s="232"/>
      <c r="E25" s="80">
        <f t="shared" ref="E25:AH25" si="4">IFERROR(E24/E22*1000,0)</f>
        <v>0</v>
      </c>
      <c r="F25" s="79">
        <f>IFERROR(F24/F22*1000,0)</f>
        <v>0</v>
      </c>
      <c r="G25" s="79">
        <f t="shared" si="4"/>
        <v>0</v>
      </c>
      <c r="H25" s="79">
        <f t="shared" si="4"/>
        <v>0</v>
      </c>
      <c r="I25" s="79">
        <f t="shared" si="4"/>
        <v>0</v>
      </c>
      <c r="J25" s="79">
        <f t="shared" si="4"/>
        <v>0</v>
      </c>
      <c r="K25" s="79">
        <f t="shared" si="4"/>
        <v>0</v>
      </c>
      <c r="L25" s="79">
        <f t="shared" si="4"/>
        <v>0</v>
      </c>
      <c r="M25" s="79">
        <f t="shared" si="4"/>
        <v>0</v>
      </c>
      <c r="N25" s="79">
        <f t="shared" si="4"/>
        <v>0</v>
      </c>
      <c r="O25" s="79">
        <f t="shared" si="4"/>
        <v>0</v>
      </c>
      <c r="P25" s="79">
        <f t="shared" si="4"/>
        <v>0</v>
      </c>
      <c r="Q25" s="79">
        <f t="shared" si="4"/>
        <v>0</v>
      </c>
      <c r="R25" s="79">
        <f t="shared" si="4"/>
        <v>0</v>
      </c>
      <c r="S25" s="79">
        <f t="shared" si="4"/>
        <v>0</v>
      </c>
      <c r="T25" s="79">
        <f t="shared" si="4"/>
        <v>0</v>
      </c>
      <c r="U25" s="79">
        <f t="shared" si="4"/>
        <v>0</v>
      </c>
      <c r="V25" s="79">
        <f t="shared" si="4"/>
        <v>0</v>
      </c>
      <c r="W25" s="79">
        <f t="shared" si="4"/>
        <v>0</v>
      </c>
      <c r="X25" s="79">
        <f t="shared" si="4"/>
        <v>0</v>
      </c>
      <c r="Y25" s="79">
        <f t="shared" si="4"/>
        <v>0</v>
      </c>
      <c r="Z25" s="79">
        <f t="shared" si="4"/>
        <v>0</v>
      </c>
      <c r="AA25" s="79">
        <f t="shared" si="4"/>
        <v>0</v>
      </c>
      <c r="AB25" s="79">
        <f t="shared" si="4"/>
        <v>0</v>
      </c>
      <c r="AC25" s="79">
        <f t="shared" si="4"/>
        <v>0</v>
      </c>
      <c r="AD25" s="79">
        <f t="shared" si="4"/>
        <v>0</v>
      </c>
      <c r="AE25" s="79">
        <f t="shared" si="4"/>
        <v>0</v>
      </c>
      <c r="AF25" s="79">
        <f t="shared" si="4"/>
        <v>0</v>
      </c>
      <c r="AG25" s="79">
        <f t="shared" si="4"/>
        <v>0</v>
      </c>
      <c r="AH25" s="79">
        <f t="shared" si="4"/>
        <v>0</v>
      </c>
      <c r="AI25" s="235"/>
    </row>
    <row r="26" spans="1:35" ht="21" customHeight="1" thickBot="1">
      <c r="B26" s="71" t="s">
        <v>97</v>
      </c>
      <c r="C26" s="227" t="s">
        <v>104</v>
      </c>
      <c r="D26" s="228"/>
      <c r="E26" s="70">
        <v>46143</v>
      </c>
      <c r="F26" s="69">
        <v>46144</v>
      </c>
      <c r="G26" s="69">
        <v>46145</v>
      </c>
      <c r="H26" s="69">
        <v>46146</v>
      </c>
      <c r="I26" s="69">
        <v>46147</v>
      </c>
      <c r="J26" s="69">
        <v>46148</v>
      </c>
      <c r="K26" s="69">
        <v>46149</v>
      </c>
      <c r="L26" s="69">
        <v>46150</v>
      </c>
      <c r="M26" s="69">
        <v>46151</v>
      </c>
      <c r="N26" s="69">
        <v>46152</v>
      </c>
      <c r="O26" s="69">
        <v>46153</v>
      </c>
      <c r="P26" s="69">
        <v>46154</v>
      </c>
      <c r="Q26" s="69">
        <v>46155</v>
      </c>
      <c r="R26" s="69">
        <v>46156</v>
      </c>
      <c r="S26" s="69">
        <v>46157</v>
      </c>
      <c r="T26" s="69">
        <v>46158</v>
      </c>
      <c r="U26" s="69">
        <v>46159</v>
      </c>
      <c r="V26" s="69">
        <v>46160</v>
      </c>
      <c r="W26" s="69">
        <v>46161</v>
      </c>
      <c r="X26" s="69">
        <v>46162</v>
      </c>
      <c r="Y26" s="69">
        <v>46163</v>
      </c>
      <c r="Z26" s="69">
        <v>46164</v>
      </c>
      <c r="AA26" s="69">
        <v>46165</v>
      </c>
      <c r="AB26" s="69">
        <v>46166</v>
      </c>
      <c r="AC26" s="69">
        <v>46167</v>
      </c>
      <c r="AD26" s="69">
        <v>46168</v>
      </c>
      <c r="AE26" s="69">
        <v>46169</v>
      </c>
      <c r="AF26" s="69">
        <v>46170</v>
      </c>
      <c r="AG26" s="69">
        <v>46171</v>
      </c>
      <c r="AH26" s="69">
        <v>46172</v>
      </c>
      <c r="AI26" s="68">
        <v>46173</v>
      </c>
    </row>
    <row r="27" spans="1:35" ht="21" customHeight="1">
      <c r="A27" s="62"/>
      <c r="B27" s="67">
        <v>0</v>
      </c>
      <c r="C27" s="66" t="s">
        <v>95</v>
      </c>
      <c r="D27" s="60">
        <f>SUM(E27:AI27)</f>
        <v>0</v>
      </c>
      <c r="E27" s="65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</row>
    <row r="28" spans="1:35" ht="21" customHeight="1">
      <c r="A28" s="62"/>
      <c r="B28" s="56" t="s">
        <v>94</v>
      </c>
      <c r="C28" s="61" t="s">
        <v>93</v>
      </c>
      <c r="D28" s="60">
        <f>SUM(E28:AI28)</f>
        <v>0</v>
      </c>
      <c r="E28" s="53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1"/>
    </row>
    <row r="29" spans="1:35" ht="21" customHeight="1">
      <c r="A29" s="50"/>
      <c r="B29" s="59" t="e">
        <f>LOOKUP(1,1/(E29:AI29&lt;&gt;""),E29:AI29)</f>
        <v>#N/A</v>
      </c>
      <c r="C29" s="229" t="s">
        <v>92</v>
      </c>
      <c r="D29" s="230"/>
      <c r="E29" s="53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8"/>
    </row>
    <row r="30" spans="1:35" ht="21" customHeight="1">
      <c r="A30" s="57"/>
      <c r="B30" s="56" t="s">
        <v>91</v>
      </c>
      <c r="C30" s="73" t="s">
        <v>90</v>
      </c>
      <c r="D30" s="74">
        <f>SUM(E30:AI30)</f>
        <v>0</v>
      </c>
      <c r="E30" s="128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</row>
    <row r="31" spans="1:35" ht="21" customHeight="1" thickBot="1">
      <c r="A31" s="50"/>
      <c r="B31" s="72">
        <f>IFERROR(D30/D28*1000,0)</f>
        <v>0</v>
      </c>
      <c r="C31" s="231" t="s">
        <v>89</v>
      </c>
      <c r="D31" s="232"/>
      <c r="E31" s="80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8"/>
    </row>
    <row r="32" spans="1:35" ht="21" customHeight="1" thickBot="1">
      <c r="B32" s="71" t="s">
        <v>97</v>
      </c>
      <c r="C32" s="227" t="s">
        <v>103</v>
      </c>
      <c r="D32" s="228"/>
      <c r="E32" s="70">
        <v>46174</v>
      </c>
      <c r="F32" s="69">
        <v>46175</v>
      </c>
      <c r="G32" s="69">
        <v>46176</v>
      </c>
      <c r="H32" s="69">
        <v>46177</v>
      </c>
      <c r="I32" s="69">
        <v>46178</v>
      </c>
      <c r="J32" s="69">
        <v>46179</v>
      </c>
      <c r="K32" s="69">
        <v>46180</v>
      </c>
      <c r="L32" s="69">
        <v>46181</v>
      </c>
      <c r="M32" s="69">
        <v>46182</v>
      </c>
      <c r="N32" s="69">
        <v>46183</v>
      </c>
      <c r="O32" s="69">
        <v>46184</v>
      </c>
      <c r="P32" s="69">
        <v>46185</v>
      </c>
      <c r="Q32" s="69">
        <v>46186</v>
      </c>
      <c r="R32" s="69">
        <v>46187</v>
      </c>
      <c r="S32" s="69">
        <v>46188</v>
      </c>
      <c r="T32" s="69">
        <v>46189</v>
      </c>
      <c r="U32" s="69">
        <v>46190</v>
      </c>
      <c r="V32" s="69">
        <v>46191</v>
      </c>
      <c r="W32" s="69">
        <v>46192</v>
      </c>
      <c r="X32" s="69">
        <v>46193</v>
      </c>
      <c r="Y32" s="69">
        <v>46194</v>
      </c>
      <c r="Z32" s="69">
        <v>46195</v>
      </c>
      <c r="AA32" s="69">
        <v>46196</v>
      </c>
      <c r="AB32" s="69">
        <v>46197</v>
      </c>
      <c r="AC32" s="69">
        <v>46198</v>
      </c>
      <c r="AD32" s="69">
        <v>46199</v>
      </c>
      <c r="AE32" s="69">
        <v>46200</v>
      </c>
      <c r="AF32" s="69">
        <v>46201</v>
      </c>
      <c r="AG32" s="69">
        <v>46202</v>
      </c>
      <c r="AH32" s="69">
        <v>46203</v>
      </c>
      <c r="AI32" s="233"/>
    </row>
    <row r="33" spans="1:39" ht="21" customHeight="1">
      <c r="A33" s="62"/>
      <c r="B33" s="67">
        <v>0</v>
      </c>
      <c r="C33" s="66" t="s">
        <v>95</v>
      </c>
      <c r="D33" s="60">
        <f>SUM(E33:AI33)</f>
        <v>0</v>
      </c>
      <c r="E33" s="77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234"/>
    </row>
    <row r="34" spans="1:39" ht="21" customHeight="1">
      <c r="A34" s="62"/>
      <c r="B34" s="56" t="s">
        <v>94</v>
      </c>
      <c r="C34" s="61" t="s">
        <v>93</v>
      </c>
      <c r="D34" s="60">
        <f>SUM(E34:AI34)</f>
        <v>0</v>
      </c>
      <c r="E34" s="53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234"/>
    </row>
    <row r="35" spans="1:39" ht="21" customHeight="1">
      <c r="A35" s="50"/>
      <c r="B35" s="59" t="e">
        <f>LOOKUP(1,1/(E35:AI35&lt;&gt;""),E35:AI35)</f>
        <v>#N/A</v>
      </c>
      <c r="C35" s="229" t="s">
        <v>92</v>
      </c>
      <c r="D35" s="230"/>
      <c r="E35" s="53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124"/>
      <c r="AI35" s="234"/>
    </row>
    <row r="36" spans="1:39" ht="21" customHeight="1">
      <c r="A36" s="57"/>
      <c r="B36" s="56" t="s">
        <v>91</v>
      </c>
      <c r="C36" s="73" t="s">
        <v>90</v>
      </c>
      <c r="D36" s="74">
        <f>SUM(E36:AH36)</f>
        <v>0</v>
      </c>
      <c r="E36" s="128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234"/>
    </row>
    <row r="37" spans="1:39" ht="21" customHeight="1" thickBot="1">
      <c r="A37" s="50"/>
      <c r="B37" s="72">
        <f>IFERROR(D36/D34*1000,0)</f>
        <v>0</v>
      </c>
      <c r="C37" s="231" t="s">
        <v>89</v>
      </c>
      <c r="D37" s="232"/>
      <c r="E37" s="80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235"/>
      <c r="AM37" s="75"/>
    </row>
    <row r="38" spans="1:39" ht="21" customHeight="1" thickBot="1">
      <c r="B38" s="71" t="s">
        <v>97</v>
      </c>
      <c r="C38" s="227" t="s">
        <v>102</v>
      </c>
      <c r="D38" s="228"/>
      <c r="E38" s="70">
        <v>46204</v>
      </c>
      <c r="F38" s="69">
        <v>46205</v>
      </c>
      <c r="G38" s="69">
        <v>46206</v>
      </c>
      <c r="H38" s="69">
        <v>46207</v>
      </c>
      <c r="I38" s="69">
        <v>46208</v>
      </c>
      <c r="J38" s="69">
        <v>46209</v>
      </c>
      <c r="K38" s="69">
        <v>46210</v>
      </c>
      <c r="L38" s="69">
        <v>46211</v>
      </c>
      <c r="M38" s="69">
        <v>46212</v>
      </c>
      <c r="N38" s="69">
        <v>46213</v>
      </c>
      <c r="O38" s="69">
        <v>46214</v>
      </c>
      <c r="P38" s="69">
        <v>46215</v>
      </c>
      <c r="Q38" s="69">
        <v>46216</v>
      </c>
      <c r="R38" s="69">
        <v>46217</v>
      </c>
      <c r="S38" s="69">
        <v>46218</v>
      </c>
      <c r="T38" s="69">
        <v>46219</v>
      </c>
      <c r="U38" s="69">
        <v>46220</v>
      </c>
      <c r="V38" s="69">
        <v>46221</v>
      </c>
      <c r="W38" s="69">
        <v>46222</v>
      </c>
      <c r="X38" s="69">
        <v>46223</v>
      </c>
      <c r="Y38" s="69">
        <v>46224</v>
      </c>
      <c r="Z38" s="69">
        <v>46225</v>
      </c>
      <c r="AA38" s="69">
        <v>46226</v>
      </c>
      <c r="AB38" s="69">
        <v>46227</v>
      </c>
      <c r="AC38" s="69">
        <v>46228</v>
      </c>
      <c r="AD38" s="69">
        <v>46229</v>
      </c>
      <c r="AE38" s="69">
        <v>46230</v>
      </c>
      <c r="AF38" s="69">
        <v>46231</v>
      </c>
      <c r="AG38" s="69">
        <v>46232</v>
      </c>
      <c r="AH38" s="69">
        <v>46233</v>
      </c>
      <c r="AI38" s="68">
        <v>46234</v>
      </c>
    </row>
    <row r="39" spans="1:39" ht="21" customHeight="1">
      <c r="A39" s="62"/>
      <c r="B39" s="67">
        <v>0</v>
      </c>
      <c r="C39" s="66" t="s">
        <v>95</v>
      </c>
      <c r="D39" s="60">
        <f>SUM(E39:AI39)</f>
        <v>0</v>
      </c>
      <c r="E39" s="65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3"/>
    </row>
    <row r="40" spans="1:39" ht="21" customHeight="1">
      <c r="A40" s="62"/>
      <c r="B40" s="56" t="s">
        <v>94</v>
      </c>
      <c r="C40" s="61" t="s">
        <v>93</v>
      </c>
      <c r="D40" s="60">
        <f>SUM(E40:AI40)</f>
        <v>0</v>
      </c>
      <c r="E40" s="53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1"/>
    </row>
    <row r="41" spans="1:39" ht="21" customHeight="1">
      <c r="A41" s="50"/>
      <c r="B41" s="59" t="e">
        <f>LOOKUP(1,1/(E41:AI41&lt;&gt;""),E41:AI41)</f>
        <v>#N/A</v>
      </c>
      <c r="C41" s="229" t="s">
        <v>92</v>
      </c>
      <c r="D41" s="230"/>
      <c r="E41" s="53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8"/>
    </row>
    <row r="42" spans="1:39" ht="21" customHeight="1">
      <c r="A42" s="57"/>
      <c r="B42" s="56" t="s">
        <v>91</v>
      </c>
      <c r="C42" s="73" t="s">
        <v>90</v>
      </c>
      <c r="D42" s="74">
        <f>SUM(E42:AI42)</f>
        <v>0</v>
      </c>
      <c r="E42" s="128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30"/>
    </row>
    <row r="43" spans="1:39" ht="21" customHeight="1" thickBot="1">
      <c r="A43" s="50"/>
      <c r="B43" s="72">
        <f>IFERROR(D42/D40*1000,0)</f>
        <v>0</v>
      </c>
      <c r="C43" s="231" t="s">
        <v>89</v>
      </c>
      <c r="D43" s="232"/>
      <c r="E43" s="80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8"/>
    </row>
    <row r="44" spans="1:39" ht="21" customHeight="1" thickBot="1">
      <c r="B44" s="71" t="s">
        <v>97</v>
      </c>
      <c r="C44" s="227" t="s">
        <v>101</v>
      </c>
      <c r="D44" s="228"/>
      <c r="E44" s="70">
        <v>46235</v>
      </c>
      <c r="F44" s="69">
        <v>46236</v>
      </c>
      <c r="G44" s="69">
        <v>46237</v>
      </c>
      <c r="H44" s="69">
        <v>46238</v>
      </c>
      <c r="I44" s="69">
        <v>46239</v>
      </c>
      <c r="J44" s="69">
        <v>46240</v>
      </c>
      <c r="K44" s="69">
        <v>46241</v>
      </c>
      <c r="L44" s="69">
        <v>46242</v>
      </c>
      <c r="M44" s="69">
        <v>46243</v>
      </c>
      <c r="N44" s="69">
        <v>46244</v>
      </c>
      <c r="O44" s="69">
        <v>46245</v>
      </c>
      <c r="P44" s="69">
        <v>46246</v>
      </c>
      <c r="Q44" s="69">
        <v>46247</v>
      </c>
      <c r="R44" s="69">
        <v>46248</v>
      </c>
      <c r="S44" s="69">
        <v>46249</v>
      </c>
      <c r="T44" s="69">
        <v>46250</v>
      </c>
      <c r="U44" s="69">
        <v>46251</v>
      </c>
      <c r="V44" s="69">
        <v>46252</v>
      </c>
      <c r="W44" s="69">
        <v>46253</v>
      </c>
      <c r="X44" s="69">
        <v>46254</v>
      </c>
      <c r="Y44" s="69">
        <v>46255</v>
      </c>
      <c r="Z44" s="69">
        <v>46256</v>
      </c>
      <c r="AA44" s="69">
        <v>46257</v>
      </c>
      <c r="AB44" s="69">
        <v>46258</v>
      </c>
      <c r="AC44" s="69">
        <v>46259</v>
      </c>
      <c r="AD44" s="69">
        <v>46260</v>
      </c>
      <c r="AE44" s="69">
        <v>46261</v>
      </c>
      <c r="AF44" s="69">
        <v>46262</v>
      </c>
      <c r="AG44" s="69">
        <v>46263</v>
      </c>
      <c r="AH44" s="69">
        <v>46264</v>
      </c>
      <c r="AI44" s="68">
        <v>46265</v>
      </c>
    </row>
    <row r="45" spans="1:39" ht="21" customHeight="1">
      <c r="A45" s="62"/>
      <c r="B45" s="67">
        <v>0</v>
      </c>
      <c r="C45" s="66" t="s">
        <v>95</v>
      </c>
      <c r="D45" s="60">
        <f>SUM(E45:AI45)</f>
        <v>0</v>
      </c>
      <c r="E45" s="65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3"/>
    </row>
    <row r="46" spans="1:39" ht="21" customHeight="1">
      <c r="A46" s="62"/>
      <c r="B46" s="56" t="s">
        <v>94</v>
      </c>
      <c r="C46" s="61" t="s">
        <v>93</v>
      </c>
      <c r="D46" s="60">
        <f>SUM(E46:AI46)</f>
        <v>0</v>
      </c>
      <c r="E46" s="53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1"/>
    </row>
    <row r="47" spans="1:39" ht="21" customHeight="1">
      <c r="A47" s="50"/>
      <c r="B47" s="59" t="e">
        <f>LOOKUP(1,1/(E47:AI47&lt;&gt;""),E47:AI47)</f>
        <v>#N/A</v>
      </c>
      <c r="C47" s="229" t="s">
        <v>92</v>
      </c>
      <c r="D47" s="230"/>
      <c r="E47" s="53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8"/>
    </row>
    <row r="48" spans="1:39" ht="21" customHeight="1">
      <c r="A48" s="57"/>
      <c r="B48" s="56" t="s">
        <v>91</v>
      </c>
      <c r="C48" s="73" t="s">
        <v>90</v>
      </c>
      <c r="D48" s="74">
        <f>SUM(E48:AI48)</f>
        <v>0</v>
      </c>
      <c r="E48" s="128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30"/>
    </row>
    <row r="49" spans="1:35" ht="21" customHeight="1" thickBot="1">
      <c r="A49" s="50"/>
      <c r="B49" s="72">
        <f>IFERROR(D48/D46*1000,0)</f>
        <v>0</v>
      </c>
      <c r="C49" s="231" t="s">
        <v>89</v>
      </c>
      <c r="D49" s="232"/>
      <c r="E49" s="80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8"/>
    </row>
    <row r="50" spans="1:35" ht="21" customHeight="1" thickBot="1">
      <c r="B50" s="71" t="s">
        <v>97</v>
      </c>
      <c r="C50" s="227" t="s">
        <v>100</v>
      </c>
      <c r="D50" s="228"/>
      <c r="E50" s="70">
        <v>46266</v>
      </c>
      <c r="F50" s="69">
        <v>46267</v>
      </c>
      <c r="G50" s="69">
        <v>46268</v>
      </c>
      <c r="H50" s="69">
        <v>46269</v>
      </c>
      <c r="I50" s="69">
        <v>46270</v>
      </c>
      <c r="J50" s="69">
        <v>46271</v>
      </c>
      <c r="K50" s="69">
        <v>46272</v>
      </c>
      <c r="L50" s="69">
        <v>46273</v>
      </c>
      <c r="M50" s="69">
        <v>46274</v>
      </c>
      <c r="N50" s="69">
        <v>46275</v>
      </c>
      <c r="O50" s="69">
        <v>46276</v>
      </c>
      <c r="P50" s="69">
        <v>46277</v>
      </c>
      <c r="Q50" s="69">
        <v>46278</v>
      </c>
      <c r="R50" s="69">
        <v>46279</v>
      </c>
      <c r="S50" s="69">
        <v>46280</v>
      </c>
      <c r="T50" s="69">
        <v>46281</v>
      </c>
      <c r="U50" s="69">
        <v>46282</v>
      </c>
      <c r="V50" s="69">
        <v>46283</v>
      </c>
      <c r="W50" s="69">
        <v>46284</v>
      </c>
      <c r="X50" s="69">
        <v>46285</v>
      </c>
      <c r="Y50" s="69">
        <v>46286</v>
      </c>
      <c r="Z50" s="69">
        <v>46287</v>
      </c>
      <c r="AA50" s="69">
        <v>46288</v>
      </c>
      <c r="AB50" s="69">
        <v>46289</v>
      </c>
      <c r="AC50" s="69">
        <v>46290</v>
      </c>
      <c r="AD50" s="69">
        <v>46291</v>
      </c>
      <c r="AE50" s="69">
        <v>46292</v>
      </c>
      <c r="AF50" s="69">
        <v>46293</v>
      </c>
      <c r="AG50" s="69">
        <v>46294</v>
      </c>
      <c r="AH50" s="69">
        <v>46295</v>
      </c>
      <c r="AI50" s="233"/>
    </row>
    <row r="51" spans="1:35" ht="21" customHeight="1">
      <c r="A51" s="62"/>
      <c r="B51" s="67">
        <v>0</v>
      </c>
      <c r="C51" s="66" t="s">
        <v>95</v>
      </c>
      <c r="D51" s="60">
        <f>SUM(E51:AI51)</f>
        <v>0</v>
      </c>
      <c r="E51" s="65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234"/>
    </row>
    <row r="52" spans="1:35" ht="21" customHeight="1">
      <c r="A52" s="62"/>
      <c r="B52" s="56" t="s">
        <v>94</v>
      </c>
      <c r="C52" s="61" t="s">
        <v>93</v>
      </c>
      <c r="D52" s="60">
        <f>SUM(E52:AI52)</f>
        <v>0</v>
      </c>
      <c r="E52" s="53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234"/>
    </row>
    <row r="53" spans="1:35" ht="21" customHeight="1">
      <c r="A53" s="50"/>
      <c r="B53" s="59" t="e" cm="1">
        <f t="array" ref="B53">LOOKUP(1,1/(E53:AI53&lt;&gt;""),E53:AI53)</f>
        <v>#N/A</v>
      </c>
      <c r="C53" s="229" t="s">
        <v>92</v>
      </c>
      <c r="D53" s="230"/>
      <c r="E53" s="53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124"/>
      <c r="AI53" s="234"/>
    </row>
    <row r="54" spans="1:35" ht="21" customHeight="1">
      <c r="A54" s="57"/>
      <c r="B54" s="56" t="s">
        <v>91</v>
      </c>
      <c r="C54" s="55" t="s">
        <v>90</v>
      </c>
      <c r="D54" s="54">
        <f>SUM(E54:AH54)</f>
        <v>0</v>
      </c>
      <c r="E54" s="53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234"/>
    </row>
    <row r="55" spans="1:35" ht="21" customHeight="1" thickBot="1">
      <c r="A55" s="50"/>
      <c r="B55" s="72">
        <f>IFERROR(D54/D52*1000,0)</f>
        <v>0</v>
      </c>
      <c r="C55" s="231" t="s">
        <v>89</v>
      </c>
      <c r="D55" s="232"/>
      <c r="E55" s="80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235"/>
    </row>
    <row r="56" spans="1:35" ht="21" customHeight="1" thickBot="1">
      <c r="B56" s="71" t="s">
        <v>97</v>
      </c>
      <c r="C56" s="227" t="s">
        <v>99</v>
      </c>
      <c r="D56" s="228"/>
      <c r="E56" s="70">
        <v>46296</v>
      </c>
      <c r="F56" s="69">
        <v>46297</v>
      </c>
      <c r="G56" s="69">
        <v>46298</v>
      </c>
      <c r="H56" s="69">
        <v>46299</v>
      </c>
      <c r="I56" s="69">
        <v>46300</v>
      </c>
      <c r="J56" s="69">
        <v>46301</v>
      </c>
      <c r="K56" s="69">
        <v>46302</v>
      </c>
      <c r="L56" s="69">
        <v>46303</v>
      </c>
      <c r="M56" s="69">
        <v>46304</v>
      </c>
      <c r="N56" s="69">
        <v>46305</v>
      </c>
      <c r="O56" s="69">
        <v>46306</v>
      </c>
      <c r="P56" s="69">
        <v>46307</v>
      </c>
      <c r="Q56" s="69">
        <v>46308</v>
      </c>
      <c r="R56" s="69">
        <v>46309</v>
      </c>
      <c r="S56" s="69">
        <v>46310</v>
      </c>
      <c r="T56" s="69">
        <v>46311</v>
      </c>
      <c r="U56" s="69">
        <v>46312</v>
      </c>
      <c r="V56" s="69">
        <v>46313</v>
      </c>
      <c r="W56" s="69">
        <v>46314</v>
      </c>
      <c r="X56" s="69">
        <v>46315</v>
      </c>
      <c r="Y56" s="69">
        <v>46316</v>
      </c>
      <c r="Z56" s="69">
        <v>46317</v>
      </c>
      <c r="AA56" s="69">
        <v>46318</v>
      </c>
      <c r="AB56" s="69">
        <v>46319</v>
      </c>
      <c r="AC56" s="69">
        <v>46320</v>
      </c>
      <c r="AD56" s="69">
        <v>46321</v>
      </c>
      <c r="AE56" s="69">
        <v>46322</v>
      </c>
      <c r="AF56" s="69">
        <v>46323</v>
      </c>
      <c r="AG56" s="69">
        <v>46324</v>
      </c>
      <c r="AH56" s="69">
        <v>46325</v>
      </c>
      <c r="AI56" s="68">
        <v>46326</v>
      </c>
    </row>
    <row r="57" spans="1:35" ht="21" customHeight="1">
      <c r="A57" s="62"/>
      <c r="B57" s="67">
        <v>0</v>
      </c>
      <c r="C57" s="66" t="s">
        <v>95</v>
      </c>
      <c r="D57" s="60">
        <f>SUM(E57:AI57)</f>
        <v>0</v>
      </c>
      <c r="E57" s="65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3"/>
    </row>
    <row r="58" spans="1:35" ht="21" customHeight="1">
      <c r="A58" s="62"/>
      <c r="B58" s="56" t="s">
        <v>94</v>
      </c>
      <c r="C58" s="61" t="s">
        <v>93</v>
      </c>
      <c r="D58" s="60">
        <f>SUM(E58:AI58)</f>
        <v>0</v>
      </c>
      <c r="E58" s="53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1"/>
    </row>
    <row r="59" spans="1:35" ht="21" customHeight="1">
      <c r="A59" s="50"/>
      <c r="B59" s="59" t="e">
        <f>LOOKUP(1,1/(E59:AI59&lt;&gt;""),E59:AI59)</f>
        <v>#N/A</v>
      </c>
      <c r="C59" s="229" t="s">
        <v>92</v>
      </c>
      <c r="D59" s="230"/>
      <c r="E59" s="53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8"/>
    </row>
    <row r="60" spans="1:35" ht="21" customHeight="1">
      <c r="A60" s="57"/>
      <c r="B60" s="56" t="s">
        <v>91</v>
      </c>
      <c r="C60" s="73" t="s">
        <v>90</v>
      </c>
      <c r="D60" s="60">
        <f>SUM(E60:AI60)</f>
        <v>0</v>
      </c>
      <c r="E60" s="53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1"/>
    </row>
    <row r="61" spans="1:35" ht="21" customHeight="1" thickBot="1">
      <c r="A61" s="50"/>
      <c r="B61" s="72">
        <f>IFERROR(D60/D58*1000,0)</f>
        <v>0</v>
      </c>
      <c r="C61" s="231" t="s">
        <v>89</v>
      </c>
      <c r="D61" s="232"/>
      <c r="E61" s="125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7"/>
    </row>
    <row r="62" spans="1:35" ht="21" customHeight="1" thickBot="1">
      <c r="B62" s="71" t="s">
        <v>97</v>
      </c>
      <c r="C62" s="227" t="s">
        <v>98</v>
      </c>
      <c r="D62" s="228"/>
      <c r="E62" s="70">
        <v>46327</v>
      </c>
      <c r="F62" s="69">
        <v>46328</v>
      </c>
      <c r="G62" s="69">
        <v>46329</v>
      </c>
      <c r="H62" s="69">
        <v>46330</v>
      </c>
      <c r="I62" s="69">
        <v>46331</v>
      </c>
      <c r="J62" s="69">
        <v>46332</v>
      </c>
      <c r="K62" s="69">
        <v>46333</v>
      </c>
      <c r="L62" s="69">
        <v>46334</v>
      </c>
      <c r="M62" s="69">
        <v>46335</v>
      </c>
      <c r="N62" s="69">
        <v>46336</v>
      </c>
      <c r="O62" s="69">
        <v>46337</v>
      </c>
      <c r="P62" s="69">
        <v>46338</v>
      </c>
      <c r="Q62" s="69">
        <v>46339</v>
      </c>
      <c r="R62" s="69">
        <v>46340</v>
      </c>
      <c r="S62" s="69">
        <v>46341</v>
      </c>
      <c r="T62" s="69">
        <v>46342</v>
      </c>
      <c r="U62" s="69">
        <v>46343</v>
      </c>
      <c r="V62" s="69">
        <v>46344</v>
      </c>
      <c r="W62" s="69">
        <v>46345</v>
      </c>
      <c r="X62" s="69">
        <v>46346</v>
      </c>
      <c r="Y62" s="69">
        <v>46347</v>
      </c>
      <c r="Z62" s="69">
        <v>46348</v>
      </c>
      <c r="AA62" s="69">
        <v>46349</v>
      </c>
      <c r="AB62" s="69">
        <v>46350</v>
      </c>
      <c r="AC62" s="69">
        <v>46351</v>
      </c>
      <c r="AD62" s="69">
        <v>46352</v>
      </c>
      <c r="AE62" s="69">
        <v>46353</v>
      </c>
      <c r="AF62" s="69">
        <v>46354</v>
      </c>
      <c r="AG62" s="69">
        <v>46355</v>
      </c>
      <c r="AH62" s="69">
        <v>46356</v>
      </c>
      <c r="AI62" s="244"/>
    </row>
    <row r="63" spans="1:35" ht="21" customHeight="1">
      <c r="A63" s="62"/>
      <c r="B63" s="67">
        <v>0</v>
      </c>
      <c r="C63" s="66" t="s">
        <v>95</v>
      </c>
      <c r="D63" s="60">
        <f>SUM(E63:AI63)</f>
        <v>0</v>
      </c>
      <c r="E63" s="65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245"/>
    </row>
    <row r="64" spans="1:35" ht="21" customHeight="1">
      <c r="A64" s="62"/>
      <c r="B64" s="56" t="s">
        <v>94</v>
      </c>
      <c r="C64" s="61" t="s">
        <v>93</v>
      </c>
      <c r="D64" s="60">
        <f>SUM(E64:AI64)</f>
        <v>0</v>
      </c>
      <c r="E64" s="53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245"/>
    </row>
    <row r="65" spans="1:35" ht="21" customHeight="1">
      <c r="A65" s="50"/>
      <c r="B65" s="59" t="e">
        <f>LOOKUP(1,1/(E65:AI65&lt;&gt;""),E65:AI65)</f>
        <v>#N/A</v>
      </c>
      <c r="C65" s="229" t="s">
        <v>92</v>
      </c>
      <c r="D65" s="247"/>
      <c r="E65" s="53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124"/>
      <c r="AI65" s="245"/>
    </row>
    <row r="66" spans="1:35" ht="21" customHeight="1">
      <c r="A66" s="57"/>
      <c r="B66" s="56" t="s">
        <v>91</v>
      </c>
      <c r="C66" s="73" t="s">
        <v>90</v>
      </c>
      <c r="D66" s="60">
        <f>SUM(E66:AH66)</f>
        <v>0</v>
      </c>
      <c r="E66" s="53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245"/>
    </row>
    <row r="67" spans="1:35" ht="21" customHeight="1" thickBot="1">
      <c r="A67" s="50"/>
      <c r="B67" s="72">
        <f>IFERROR(D66/D64*1000,0)</f>
        <v>0</v>
      </c>
      <c r="C67" s="231" t="s">
        <v>89</v>
      </c>
      <c r="D67" s="232"/>
      <c r="E67" s="80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246"/>
    </row>
    <row r="68" spans="1:35" ht="21" customHeight="1" thickBot="1">
      <c r="B68" s="71" t="s">
        <v>97</v>
      </c>
      <c r="C68" s="227" t="s">
        <v>96</v>
      </c>
      <c r="D68" s="228"/>
      <c r="E68" s="70">
        <v>46357</v>
      </c>
      <c r="F68" s="69">
        <v>46358</v>
      </c>
      <c r="G68" s="69">
        <v>46359</v>
      </c>
      <c r="H68" s="69">
        <v>46360</v>
      </c>
      <c r="I68" s="69">
        <v>46361</v>
      </c>
      <c r="J68" s="69">
        <v>46362</v>
      </c>
      <c r="K68" s="69">
        <v>46363</v>
      </c>
      <c r="L68" s="69">
        <v>46364</v>
      </c>
      <c r="M68" s="69">
        <v>46365</v>
      </c>
      <c r="N68" s="69">
        <v>46366</v>
      </c>
      <c r="O68" s="69">
        <v>46367</v>
      </c>
      <c r="P68" s="69">
        <v>46368</v>
      </c>
      <c r="Q68" s="69">
        <v>46369</v>
      </c>
      <c r="R68" s="69">
        <v>46370</v>
      </c>
      <c r="S68" s="69">
        <v>46371</v>
      </c>
      <c r="T68" s="69">
        <v>46372</v>
      </c>
      <c r="U68" s="69">
        <v>46373</v>
      </c>
      <c r="V68" s="69">
        <v>46374</v>
      </c>
      <c r="W68" s="69">
        <v>46375</v>
      </c>
      <c r="X68" s="69">
        <v>46376</v>
      </c>
      <c r="Y68" s="69">
        <v>46377</v>
      </c>
      <c r="Z68" s="69">
        <v>46378</v>
      </c>
      <c r="AA68" s="69">
        <v>46379</v>
      </c>
      <c r="AB68" s="69">
        <v>46380</v>
      </c>
      <c r="AC68" s="69">
        <v>46381</v>
      </c>
      <c r="AD68" s="69">
        <v>46382</v>
      </c>
      <c r="AE68" s="69">
        <v>46383</v>
      </c>
      <c r="AF68" s="69">
        <v>46384</v>
      </c>
      <c r="AG68" s="69">
        <v>46385</v>
      </c>
      <c r="AH68" s="69">
        <v>46386</v>
      </c>
      <c r="AI68" s="68">
        <v>46387</v>
      </c>
    </row>
    <row r="69" spans="1:35" ht="21" customHeight="1">
      <c r="A69" s="62"/>
      <c r="B69" s="67">
        <v>0</v>
      </c>
      <c r="C69" s="66" t="s">
        <v>95</v>
      </c>
      <c r="D69" s="60">
        <f>SUM(E69:AI69)</f>
        <v>0</v>
      </c>
      <c r="E69" s="65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3"/>
    </row>
    <row r="70" spans="1:35" ht="21" customHeight="1">
      <c r="A70" s="62"/>
      <c r="B70" s="56" t="s">
        <v>94</v>
      </c>
      <c r="C70" s="61" t="s">
        <v>93</v>
      </c>
      <c r="D70" s="60">
        <f>SUM(E70:AI70)</f>
        <v>0</v>
      </c>
      <c r="E70" s="53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1"/>
    </row>
    <row r="71" spans="1:35" ht="21" customHeight="1">
      <c r="A71" s="50"/>
      <c r="B71" s="59" t="e">
        <f>LOOKUP(1,1/(E71:AI71&lt;&gt;""),E71:AI71)</f>
        <v>#N/A</v>
      </c>
      <c r="C71" s="236" t="s">
        <v>92</v>
      </c>
      <c r="D71" s="237"/>
      <c r="E71" s="53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8"/>
    </row>
    <row r="72" spans="1:35">
      <c r="A72" s="57"/>
      <c r="B72" s="56" t="s">
        <v>91</v>
      </c>
      <c r="C72" s="55" t="s">
        <v>90</v>
      </c>
      <c r="D72" s="54">
        <f>SUM(E72:AI72)</f>
        <v>0</v>
      </c>
      <c r="E72" s="53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1"/>
    </row>
    <row r="73" spans="1:35" ht="24.75" thickBot="1">
      <c r="A73" s="50"/>
      <c r="B73" s="49">
        <f>IFERROR(D72/D70*1000,0)</f>
        <v>0</v>
      </c>
      <c r="C73" s="231" t="s">
        <v>89</v>
      </c>
      <c r="D73" s="232"/>
      <c r="E73" s="80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8"/>
    </row>
    <row r="75" spans="1:35" ht="21" customHeight="1">
      <c r="B75" s="47" t="s">
        <v>88</v>
      </c>
    </row>
    <row r="76" spans="1:35">
      <c r="B76" s="47" t="s">
        <v>147</v>
      </c>
    </row>
    <row r="79" spans="1:35">
      <c r="B79" s="47" t="s">
        <v>87</v>
      </c>
    </row>
    <row r="80" spans="1:35">
      <c r="B80" s="47" t="s">
        <v>86</v>
      </c>
    </row>
    <row r="81" spans="2:2">
      <c r="B81" s="47" t="s">
        <v>85</v>
      </c>
    </row>
    <row r="82" spans="2:2">
      <c r="B82" s="47" t="s">
        <v>84</v>
      </c>
    </row>
  </sheetData>
  <mergeCells count="41">
    <mergeCell ref="C56:D56"/>
    <mergeCell ref="C59:D59"/>
    <mergeCell ref="C71:D71"/>
    <mergeCell ref="C73:D73"/>
    <mergeCell ref="AG8:AI13"/>
    <mergeCell ref="C61:D61"/>
    <mergeCell ref="C62:D62"/>
    <mergeCell ref="AI62:AI67"/>
    <mergeCell ref="C65:D65"/>
    <mergeCell ref="C67:D67"/>
    <mergeCell ref="C68:D68"/>
    <mergeCell ref="C49:D49"/>
    <mergeCell ref="C50:D50"/>
    <mergeCell ref="AI50:AI55"/>
    <mergeCell ref="C53:D53"/>
    <mergeCell ref="C55:D55"/>
    <mergeCell ref="C38:D38"/>
    <mergeCell ref="C41:D41"/>
    <mergeCell ref="C43:D43"/>
    <mergeCell ref="C44:D44"/>
    <mergeCell ref="C47:D47"/>
    <mergeCell ref="C31:D31"/>
    <mergeCell ref="C32:D32"/>
    <mergeCell ref="AI32:AI37"/>
    <mergeCell ref="C35:D35"/>
    <mergeCell ref="C37:D37"/>
    <mergeCell ref="AI20:AI25"/>
    <mergeCell ref="C23:D23"/>
    <mergeCell ref="C25:D25"/>
    <mergeCell ref="C26:D26"/>
    <mergeCell ref="C29:D29"/>
    <mergeCell ref="C13:D13"/>
    <mergeCell ref="C14:D14"/>
    <mergeCell ref="C17:D17"/>
    <mergeCell ref="C19:D19"/>
    <mergeCell ref="C20:D20"/>
    <mergeCell ref="C2:D2"/>
    <mergeCell ref="C5:D5"/>
    <mergeCell ref="C7:D7"/>
    <mergeCell ref="C8:D8"/>
    <mergeCell ref="C11:D11"/>
  </mergeCells>
  <phoneticPr fontId="1" type="noConversion"/>
  <conditionalFormatting sqref="E9:AF9">
    <cfRule type="cellIs" dxfId="10" priority="3" operator="greaterThan">
      <formula>23</formula>
    </cfRule>
  </conditionalFormatting>
  <conditionalFormatting sqref="E33:AH33">
    <cfRule type="cellIs" dxfId="9" priority="9" operator="greaterThan">
      <formula>23</formula>
    </cfRule>
  </conditionalFormatting>
  <conditionalFormatting sqref="E51:AH51">
    <cfRule type="cellIs" dxfId="8" priority="10" operator="greaterThan">
      <formula>23</formula>
    </cfRule>
  </conditionalFormatting>
  <conditionalFormatting sqref="E57:AH57">
    <cfRule type="cellIs" dxfId="7" priority="7" operator="greaterThan">
      <formula>23</formula>
    </cfRule>
  </conditionalFormatting>
  <conditionalFormatting sqref="E63:AH63">
    <cfRule type="cellIs" dxfId="6" priority="6" operator="greaterThan">
      <formula>23</formula>
    </cfRule>
  </conditionalFormatting>
  <conditionalFormatting sqref="E3:AI3">
    <cfRule type="cellIs" dxfId="5" priority="4" operator="greaterThan">
      <formula>23</formula>
    </cfRule>
  </conditionalFormatting>
  <conditionalFormatting sqref="E15:AI15">
    <cfRule type="cellIs" dxfId="4" priority="2" operator="greaterThan">
      <formula>25</formula>
    </cfRule>
  </conditionalFormatting>
  <conditionalFormatting sqref="E27:AI27">
    <cfRule type="cellIs" dxfId="3" priority="1" operator="greaterThan">
      <formula>23</formula>
    </cfRule>
  </conditionalFormatting>
  <conditionalFormatting sqref="E39:AI39">
    <cfRule type="cellIs" dxfId="2" priority="11" operator="greaterThan">
      <formula>23</formula>
    </cfRule>
  </conditionalFormatting>
  <conditionalFormatting sqref="E45:AI45">
    <cfRule type="cellIs" dxfId="1" priority="12" operator="greaterThan">
      <formula>23</formula>
    </cfRule>
  </conditionalFormatting>
  <conditionalFormatting sqref="E69:AI69">
    <cfRule type="cellIs" dxfId="0" priority="5" operator="greaterThan">
      <formula>23</formula>
    </cfRule>
  </conditionalFormatting>
  <pageMargins left="0.25" right="0.25" top="0.75" bottom="0.75" header="0.3" footer="0.3"/>
  <pageSetup paperSize="9" scale="44" fitToWidth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P35"/>
  <sheetViews>
    <sheetView zoomScale="70" zoomScaleNormal="70" workbookViewId="0">
      <selection activeCell="R5" sqref="R5"/>
    </sheetView>
  </sheetViews>
  <sheetFormatPr defaultRowHeight="16.5"/>
  <cols>
    <col min="1" max="7" width="9" style="81"/>
    <col min="8" max="8" width="11.25" style="81" customWidth="1"/>
    <col min="9" max="9" width="9.875" style="81" customWidth="1"/>
    <col min="10" max="10" width="12.375" style="81" customWidth="1"/>
    <col min="11" max="91" width="9" style="81"/>
    <col min="92" max="92" width="9.625" style="81" bestFit="1" customWidth="1"/>
    <col min="93" max="111" width="9" style="81"/>
    <col min="112" max="112" width="9.625" style="81" bestFit="1" customWidth="1"/>
    <col min="113" max="16384" width="9" style="81"/>
  </cols>
  <sheetData>
    <row r="2" spans="2:120" ht="17.25" thickBot="1"/>
    <row r="3" spans="2:120" ht="17.25" thickBot="1">
      <c r="B3" s="251" t="s">
        <v>136</v>
      </c>
      <c r="C3" s="100" t="s">
        <v>135</v>
      </c>
      <c r="D3" s="99" t="s">
        <v>134</v>
      </c>
      <c r="E3" s="98" t="s">
        <v>133</v>
      </c>
      <c r="F3" s="98" t="s">
        <v>132</v>
      </c>
      <c r="G3" s="97" t="s">
        <v>131</v>
      </c>
      <c r="H3" s="100" t="s">
        <v>130</v>
      </c>
      <c r="I3" s="99" t="s">
        <v>129</v>
      </c>
      <c r="J3" s="97" t="s">
        <v>128</v>
      </c>
      <c r="K3" s="110"/>
      <c r="L3" s="248" t="s">
        <v>138</v>
      </c>
      <c r="M3" s="100" t="s">
        <v>135</v>
      </c>
      <c r="N3" s="99" t="s">
        <v>134</v>
      </c>
      <c r="O3" s="98" t="s">
        <v>133</v>
      </c>
      <c r="P3" s="98" t="s">
        <v>132</v>
      </c>
      <c r="Q3" s="97" t="s">
        <v>131</v>
      </c>
      <c r="R3" s="99" t="s">
        <v>130</v>
      </c>
      <c r="S3" s="98" t="s">
        <v>129</v>
      </c>
      <c r="T3" s="97" t="s">
        <v>128</v>
      </c>
      <c r="V3" s="248" t="s">
        <v>146</v>
      </c>
      <c r="W3" s="100" t="s">
        <v>135</v>
      </c>
      <c r="X3" s="99" t="s">
        <v>134</v>
      </c>
      <c r="Y3" s="98" t="s">
        <v>133</v>
      </c>
      <c r="Z3" s="98" t="s">
        <v>132</v>
      </c>
      <c r="AA3" s="97" t="s">
        <v>131</v>
      </c>
      <c r="AB3" s="100" t="s">
        <v>130</v>
      </c>
      <c r="AC3" s="99" t="s">
        <v>129</v>
      </c>
      <c r="AD3" s="97" t="s">
        <v>128</v>
      </c>
      <c r="AF3" s="248" t="s">
        <v>148</v>
      </c>
      <c r="AG3" s="100" t="s">
        <v>135</v>
      </c>
      <c r="AH3" s="99" t="s">
        <v>134</v>
      </c>
      <c r="AI3" s="98" t="s">
        <v>133</v>
      </c>
      <c r="AJ3" s="98" t="s">
        <v>132</v>
      </c>
      <c r="AK3" s="97" t="s">
        <v>131</v>
      </c>
      <c r="AL3" s="100" t="s">
        <v>130</v>
      </c>
      <c r="AM3" s="99" t="s">
        <v>129</v>
      </c>
      <c r="AN3" s="97" t="s">
        <v>128</v>
      </c>
      <c r="AP3" s="248" t="s">
        <v>149</v>
      </c>
      <c r="AQ3" s="100" t="s">
        <v>135</v>
      </c>
      <c r="AR3" s="99" t="s">
        <v>134</v>
      </c>
      <c r="AS3" s="98" t="s">
        <v>133</v>
      </c>
      <c r="AT3" s="98" t="s">
        <v>132</v>
      </c>
      <c r="AU3" s="97" t="s">
        <v>131</v>
      </c>
      <c r="AV3" s="100" t="s">
        <v>130</v>
      </c>
      <c r="AW3" s="99" t="s">
        <v>129</v>
      </c>
      <c r="AX3" s="97" t="s">
        <v>128</v>
      </c>
      <c r="AZ3" s="248" t="s">
        <v>152</v>
      </c>
      <c r="BA3" s="100" t="s">
        <v>135</v>
      </c>
      <c r="BB3" s="99" t="s">
        <v>134</v>
      </c>
      <c r="BC3" s="98" t="s">
        <v>133</v>
      </c>
      <c r="BD3" s="98" t="s">
        <v>132</v>
      </c>
      <c r="BE3" s="97" t="s">
        <v>131</v>
      </c>
      <c r="BF3" s="100" t="s">
        <v>130</v>
      </c>
      <c r="BG3" s="99" t="s">
        <v>129</v>
      </c>
      <c r="BH3" s="97" t="s">
        <v>128</v>
      </c>
      <c r="BJ3" s="248" t="s">
        <v>154</v>
      </c>
      <c r="BK3" s="100" t="s">
        <v>135</v>
      </c>
      <c r="BL3" s="99" t="s">
        <v>134</v>
      </c>
      <c r="BM3" s="98" t="s">
        <v>133</v>
      </c>
      <c r="BN3" s="98" t="s">
        <v>132</v>
      </c>
      <c r="BO3" s="97" t="s">
        <v>131</v>
      </c>
      <c r="BP3" s="100" t="s">
        <v>130</v>
      </c>
      <c r="BQ3" s="99" t="s">
        <v>129</v>
      </c>
      <c r="BR3" s="97" t="s">
        <v>128</v>
      </c>
      <c r="BT3" s="248" t="s">
        <v>156</v>
      </c>
      <c r="BU3" s="100" t="s">
        <v>135</v>
      </c>
      <c r="BV3" s="99" t="s">
        <v>134</v>
      </c>
      <c r="BW3" s="98" t="s">
        <v>133</v>
      </c>
      <c r="BX3" s="98" t="s">
        <v>132</v>
      </c>
      <c r="BY3" s="97" t="s">
        <v>131</v>
      </c>
      <c r="BZ3" s="100" t="s">
        <v>130</v>
      </c>
      <c r="CA3" s="99" t="s">
        <v>129</v>
      </c>
      <c r="CB3" s="97" t="s">
        <v>128</v>
      </c>
      <c r="CD3" s="248" t="s">
        <v>158</v>
      </c>
      <c r="CE3" s="100" t="s">
        <v>135</v>
      </c>
      <c r="CF3" s="99" t="s">
        <v>134</v>
      </c>
      <c r="CG3" s="98" t="s">
        <v>133</v>
      </c>
      <c r="CH3" s="98" t="s">
        <v>132</v>
      </c>
      <c r="CI3" s="97" t="s">
        <v>131</v>
      </c>
      <c r="CJ3" s="100" t="s">
        <v>130</v>
      </c>
      <c r="CK3" s="99" t="s">
        <v>129</v>
      </c>
      <c r="CL3" s="97" t="s">
        <v>128</v>
      </c>
      <c r="CN3" s="248" t="s">
        <v>160</v>
      </c>
      <c r="CO3" s="100" t="s">
        <v>135</v>
      </c>
      <c r="CP3" s="99" t="s">
        <v>134</v>
      </c>
      <c r="CQ3" s="98" t="s">
        <v>133</v>
      </c>
      <c r="CR3" s="98" t="s">
        <v>132</v>
      </c>
      <c r="CS3" s="97" t="s">
        <v>131</v>
      </c>
      <c r="CT3" s="100" t="s">
        <v>130</v>
      </c>
      <c r="CU3" s="99" t="s">
        <v>129</v>
      </c>
      <c r="CV3" s="97" t="s">
        <v>128</v>
      </c>
      <c r="CX3" s="248" t="s">
        <v>162</v>
      </c>
      <c r="CY3" s="100" t="s">
        <v>135</v>
      </c>
      <c r="CZ3" s="99" t="s">
        <v>134</v>
      </c>
      <c r="DA3" s="98" t="s">
        <v>133</v>
      </c>
      <c r="DB3" s="98" t="s">
        <v>132</v>
      </c>
      <c r="DC3" s="97" t="s">
        <v>131</v>
      </c>
      <c r="DD3" s="100" t="s">
        <v>130</v>
      </c>
      <c r="DE3" s="99" t="s">
        <v>129</v>
      </c>
      <c r="DF3" s="97" t="s">
        <v>128</v>
      </c>
      <c r="DH3" s="248" t="s">
        <v>160</v>
      </c>
      <c r="DI3" s="100" t="s">
        <v>135</v>
      </c>
      <c r="DJ3" s="99" t="s">
        <v>134</v>
      </c>
      <c r="DK3" s="98" t="s">
        <v>133</v>
      </c>
      <c r="DL3" s="98" t="s">
        <v>132</v>
      </c>
      <c r="DM3" s="97" t="s">
        <v>131</v>
      </c>
      <c r="DN3" s="100" t="s">
        <v>130</v>
      </c>
      <c r="DO3" s="99" t="s">
        <v>129</v>
      </c>
      <c r="DP3" s="97" t="s">
        <v>128</v>
      </c>
    </row>
    <row r="4" spans="2:120" ht="18" thickTop="1" thickBot="1">
      <c r="B4" s="249"/>
      <c r="C4" s="173">
        <f t="shared" ref="C4:H4" si="0">SUM(C5:C35)</f>
        <v>259</v>
      </c>
      <c r="D4" s="174">
        <f t="shared" si="0"/>
        <v>181384</v>
      </c>
      <c r="E4" s="175">
        <f t="shared" si="0"/>
        <v>19754</v>
      </c>
      <c r="F4" s="175">
        <f t="shared" si="0"/>
        <v>6800</v>
      </c>
      <c r="G4" s="176">
        <f t="shared" si="0"/>
        <v>59284</v>
      </c>
      <c r="H4" s="173">
        <f t="shared" si="0"/>
        <v>267222</v>
      </c>
      <c r="I4" s="177">
        <f>H4/D4</f>
        <v>1.4732390949587615</v>
      </c>
      <c r="J4" s="178">
        <f>H4/C4</f>
        <v>1031.7451737451738</v>
      </c>
      <c r="K4" s="110"/>
      <c r="L4" s="252"/>
      <c r="M4" s="173">
        <f t="shared" ref="M4:R4" si="1">SUM(M5:M32)</f>
        <v>0</v>
      </c>
      <c r="N4" s="174">
        <f t="shared" si="1"/>
        <v>0</v>
      </c>
      <c r="O4" s="175">
        <f t="shared" si="1"/>
        <v>0</v>
      </c>
      <c r="P4" s="175">
        <f t="shared" si="1"/>
        <v>0</v>
      </c>
      <c r="Q4" s="176">
        <f t="shared" si="1"/>
        <v>0</v>
      </c>
      <c r="R4" s="174">
        <f t="shared" si="1"/>
        <v>0</v>
      </c>
      <c r="S4" s="180" t="e">
        <f>R4/N4</f>
        <v>#DIV/0!</v>
      </c>
      <c r="T4" s="178" t="e">
        <f>R4/M4</f>
        <v>#DIV/0!</v>
      </c>
      <c r="V4" s="249"/>
      <c r="W4" s="173">
        <f t="shared" ref="W4:AB4" si="2">SUM(W5:W35)</f>
        <v>0</v>
      </c>
      <c r="X4" s="174">
        <f t="shared" si="2"/>
        <v>0</v>
      </c>
      <c r="Y4" s="175">
        <f t="shared" si="2"/>
        <v>0</v>
      </c>
      <c r="Z4" s="175">
        <f t="shared" si="2"/>
        <v>0</v>
      </c>
      <c r="AA4" s="176">
        <f t="shared" si="2"/>
        <v>0</v>
      </c>
      <c r="AB4" s="173">
        <f t="shared" si="2"/>
        <v>0</v>
      </c>
      <c r="AC4" s="177" t="e">
        <f>AB4/X4</f>
        <v>#DIV/0!</v>
      </c>
      <c r="AD4" s="178" t="e">
        <f>AB4/W4</f>
        <v>#DIV/0!</v>
      </c>
      <c r="AF4" s="249"/>
      <c r="AG4" s="173">
        <f>SUM(AG5:AG35)</f>
        <v>0</v>
      </c>
      <c r="AH4" s="174">
        <f>SUM(AH5:AH35)</f>
        <v>0</v>
      </c>
      <c r="AI4" s="175">
        <f t="shared" ref="AI4:AL4" si="3">SUM(AI5:AI35)</f>
        <v>0</v>
      </c>
      <c r="AJ4" s="175">
        <f t="shared" si="3"/>
        <v>0</v>
      </c>
      <c r="AK4" s="176">
        <f t="shared" si="3"/>
        <v>0</v>
      </c>
      <c r="AL4" s="173">
        <f t="shared" si="3"/>
        <v>0</v>
      </c>
      <c r="AM4" s="177" t="e">
        <f>AL4/AH4</f>
        <v>#DIV/0!</v>
      </c>
      <c r="AN4" s="178" t="e">
        <f>AL4/AG4</f>
        <v>#DIV/0!</v>
      </c>
      <c r="AP4" s="249"/>
      <c r="AQ4" s="173">
        <f t="shared" ref="AQ4:AV4" si="4">SUM(AQ5:AQ35)</f>
        <v>0</v>
      </c>
      <c r="AR4" s="174">
        <f t="shared" si="4"/>
        <v>0</v>
      </c>
      <c r="AS4" s="175">
        <f t="shared" si="4"/>
        <v>0</v>
      </c>
      <c r="AT4" s="175">
        <f t="shared" si="4"/>
        <v>0</v>
      </c>
      <c r="AU4" s="176">
        <f t="shared" si="4"/>
        <v>0</v>
      </c>
      <c r="AV4" s="173">
        <f t="shared" si="4"/>
        <v>0</v>
      </c>
      <c r="AW4" s="177" t="e">
        <f>AV4/AR4</f>
        <v>#DIV/0!</v>
      </c>
      <c r="AX4" s="178" t="e">
        <f>AV4/AQ4</f>
        <v>#DIV/0!</v>
      </c>
      <c r="AZ4" s="250"/>
      <c r="BA4" s="112">
        <f t="shared" ref="BA4:BF4" si="5">SUM(BA5:BA34)</f>
        <v>0</v>
      </c>
      <c r="BB4" s="113">
        <f t="shared" si="5"/>
        <v>0</v>
      </c>
      <c r="BC4" s="114">
        <f t="shared" si="5"/>
        <v>0</v>
      </c>
      <c r="BD4" s="114">
        <f t="shared" si="5"/>
        <v>0</v>
      </c>
      <c r="BE4" s="115">
        <f t="shared" si="5"/>
        <v>0</v>
      </c>
      <c r="BF4" s="112">
        <f t="shared" si="5"/>
        <v>0</v>
      </c>
      <c r="BG4" s="119" t="e">
        <f>BF4/BB4</f>
        <v>#DIV/0!</v>
      </c>
      <c r="BH4" s="118" t="e">
        <f>BF4/BA4</f>
        <v>#DIV/0!</v>
      </c>
      <c r="BJ4" s="249"/>
      <c r="BK4" s="173">
        <f>SUM(BK5:BK35)</f>
        <v>0</v>
      </c>
      <c r="BL4" s="174">
        <f t="shared" ref="BL4:BP4" si="6">SUM(BL5:BL35)</f>
        <v>0</v>
      </c>
      <c r="BM4" s="175">
        <f t="shared" si="6"/>
        <v>0</v>
      </c>
      <c r="BN4" s="175">
        <f t="shared" si="6"/>
        <v>0</v>
      </c>
      <c r="BO4" s="176">
        <f t="shared" si="6"/>
        <v>0</v>
      </c>
      <c r="BP4" s="173">
        <f t="shared" si="6"/>
        <v>0</v>
      </c>
      <c r="BQ4" s="177" t="e">
        <f>BP4/BL4</f>
        <v>#DIV/0!</v>
      </c>
      <c r="BR4" s="178" t="e">
        <f>BP4/BK4</f>
        <v>#DIV/0!</v>
      </c>
      <c r="BT4" s="249"/>
      <c r="BU4" s="173">
        <f>SUM(BU5:BU35)</f>
        <v>0</v>
      </c>
      <c r="BV4" s="174">
        <f t="shared" ref="BV4:BZ4" si="7">SUM(BV5:BV35)</f>
        <v>0</v>
      </c>
      <c r="BW4" s="175">
        <f t="shared" si="7"/>
        <v>0</v>
      </c>
      <c r="BX4" s="175">
        <f t="shared" si="7"/>
        <v>0</v>
      </c>
      <c r="BY4" s="176">
        <f t="shared" si="7"/>
        <v>0</v>
      </c>
      <c r="BZ4" s="173">
        <f t="shared" si="7"/>
        <v>0</v>
      </c>
      <c r="CA4" s="177" t="e">
        <f>BZ4/BV4</f>
        <v>#DIV/0!</v>
      </c>
      <c r="CB4" s="178" t="e">
        <f>BZ4/BU4</f>
        <v>#DIV/0!</v>
      </c>
      <c r="CD4" s="250"/>
      <c r="CE4" s="112">
        <f t="shared" ref="CE4:CJ4" si="8">SUM(CE5:CE34)</f>
        <v>0</v>
      </c>
      <c r="CF4" s="113">
        <f t="shared" si="8"/>
        <v>0</v>
      </c>
      <c r="CG4" s="114">
        <f t="shared" si="8"/>
        <v>0</v>
      </c>
      <c r="CH4" s="114">
        <f t="shared" si="8"/>
        <v>0</v>
      </c>
      <c r="CI4" s="115">
        <f t="shared" si="8"/>
        <v>0</v>
      </c>
      <c r="CJ4" s="112">
        <f t="shared" si="8"/>
        <v>0</v>
      </c>
      <c r="CK4" s="119" t="e">
        <f>CJ4/CF4</f>
        <v>#DIV/0!</v>
      </c>
      <c r="CL4" s="118" t="e">
        <f>CJ4/CE4</f>
        <v>#DIV/0!</v>
      </c>
      <c r="CN4" s="249"/>
      <c r="CO4" s="173">
        <f>SUM(CO5:CO35)</f>
        <v>0</v>
      </c>
      <c r="CP4" s="174">
        <f>SUM(CP5:CP35)</f>
        <v>0</v>
      </c>
      <c r="CQ4" s="175">
        <f t="shared" ref="CQ4:CT4" si="9">SUM(CQ5:CQ35)</f>
        <v>0</v>
      </c>
      <c r="CR4" s="175">
        <f t="shared" si="9"/>
        <v>0</v>
      </c>
      <c r="CS4" s="176">
        <f t="shared" si="9"/>
        <v>0</v>
      </c>
      <c r="CT4" s="173">
        <f t="shared" si="9"/>
        <v>0</v>
      </c>
      <c r="CU4" s="177" t="e">
        <f>CT4/CP4</f>
        <v>#DIV/0!</v>
      </c>
      <c r="CV4" s="178" t="e">
        <f>CT4/CO4</f>
        <v>#DIV/0!</v>
      </c>
      <c r="CX4" s="250"/>
      <c r="CY4" s="112">
        <f t="shared" ref="CY4:DD4" si="10">SUM(CY5:CY34)</f>
        <v>0</v>
      </c>
      <c r="CZ4" s="113">
        <f t="shared" si="10"/>
        <v>0</v>
      </c>
      <c r="DA4" s="114">
        <f t="shared" si="10"/>
        <v>0</v>
      </c>
      <c r="DB4" s="114">
        <f t="shared" si="10"/>
        <v>0</v>
      </c>
      <c r="DC4" s="115">
        <f t="shared" si="10"/>
        <v>0</v>
      </c>
      <c r="DD4" s="112">
        <f t="shared" si="10"/>
        <v>0</v>
      </c>
      <c r="DE4" s="119" t="e">
        <f>DD4/CZ4</f>
        <v>#DIV/0!</v>
      </c>
      <c r="DF4" s="118" t="e">
        <f>DD4/CY4</f>
        <v>#DIV/0!</v>
      </c>
      <c r="DH4" s="249"/>
      <c r="DI4" s="173">
        <f>SUM(DI5:DI35)</f>
        <v>0</v>
      </c>
      <c r="DJ4" s="174">
        <f>SUM(DJ5:DJ35)</f>
        <v>0</v>
      </c>
      <c r="DK4" s="175">
        <f t="shared" ref="DK4:DN4" si="11">SUM(DK5:DK35)</f>
        <v>0</v>
      </c>
      <c r="DL4" s="175">
        <f t="shared" si="11"/>
        <v>0</v>
      </c>
      <c r="DM4" s="176">
        <f t="shared" si="11"/>
        <v>0</v>
      </c>
      <c r="DN4" s="173">
        <f t="shared" si="11"/>
        <v>0</v>
      </c>
      <c r="DO4" s="177" t="e">
        <f>DN4/DJ4</f>
        <v>#DIV/0!</v>
      </c>
      <c r="DP4" s="178" t="e">
        <f>DN4/DI4</f>
        <v>#DIV/0!</v>
      </c>
    </row>
    <row r="5" spans="2:120">
      <c r="B5" s="166">
        <v>46023</v>
      </c>
      <c r="C5" s="167">
        <v>9</v>
      </c>
      <c r="D5" s="168">
        <v>6191</v>
      </c>
      <c r="E5" s="169">
        <v>686</v>
      </c>
      <c r="F5" s="169">
        <v>231</v>
      </c>
      <c r="G5" s="170">
        <v>2018</v>
      </c>
      <c r="H5" s="167">
        <f t="shared" ref="H5:H35" si="12">SUM(D5:G5)</f>
        <v>9126</v>
      </c>
      <c r="I5" s="171">
        <f t="shared" ref="I5:I35" si="13">IFERROR(H5/D5,0)</f>
        <v>1.4740752705540301</v>
      </c>
      <c r="J5" s="172">
        <f t="shared" ref="J5:J35" si="14">IFERROR(H5/C5,0)</f>
        <v>1014</v>
      </c>
      <c r="K5" s="111"/>
      <c r="L5" s="166">
        <v>46054</v>
      </c>
      <c r="M5" s="167">
        <v>0</v>
      </c>
      <c r="N5" s="168">
        <v>0</v>
      </c>
      <c r="O5" s="169">
        <v>0</v>
      </c>
      <c r="P5" s="169">
        <v>0</v>
      </c>
      <c r="Q5" s="170">
        <v>0</v>
      </c>
      <c r="R5" s="168">
        <f t="shared" ref="R5:R32" si="15">SUM(N5:Q5)</f>
        <v>0</v>
      </c>
      <c r="S5" s="179">
        <f t="shared" ref="S5:S32" si="16">IFERROR(R5/N5,0)</f>
        <v>0</v>
      </c>
      <c r="T5" s="172">
        <f t="shared" ref="T5:T32" si="17">IFERROR(R5/M5,0)</f>
        <v>0</v>
      </c>
      <c r="V5" s="166">
        <v>46082</v>
      </c>
      <c r="W5" s="167"/>
      <c r="X5" s="168"/>
      <c r="Y5" s="169"/>
      <c r="Z5" s="169"/>
      <c r="AA5" s="170"/>
      <c r="AB5" s="167">
        <f t="shared" ref="AB5:AB35" si="18">SUM(X5:AA5)</f>
        <v>0</v>
      </c>
      <c r="AC5" s="171">
        <f t="shared" ref="AC5:AC35" si="19">IFERROR(AB5/X5,0)</f>
        <v>0</v>
      </c>
      <c r="AD5" s="172">
        <f t="shared" ref="AD5:AD35" si="20">IFERROR(AB5/W5,0)</f>
        <v>0</v>
      </c>
      <c r="AF5" s="166">
        <v>46113</v>
      </c>
      <c r="AG5" s="167"/>
      <c r="AH5" s="168"/>
      <c r="AI5" s="169"/>
      <c r="AJ5" s="169"/>
      <c r="AK5" s="170"/>
      <c r="AL5" s="167">
        <f t="shared" ref="AL5:AL34" si="21">SUM(AH5:AK5)</f>
        <v>0</v>
      </c>
      <c r="AM5" s="171">
        <f t="shared" ref="AM5:AM34" si="22">IFERROR(AL5/AH5,0)</f>
        <v>0</v>
      </c>
      <c r="AN5" s="172">
        <f t="shared" ref="AN5:AN34" si="23">IFERROR(AL5/AG5,0)</f>
        <v>0</v>
      </c>
      <c r="AP5" s="166">
        <v>46143</v>
      </c>
      <c r="AQ5" s="167"/>
      <c r="AR5" s="168"/>
      <c r="AS5" s="169"/>
      <c r="AT5" s="169"/>
      <c r="AU5" s="170"/>
      <c r="AV5" s="167">
        <f t="shared" ref="AV5:AV35" si="24">SUM(AR5:AU5)</f>
        <v>0</v>
      </c>
      <c r="AW5" s="171">
        <f t="shared" ref="AW5:AW35" si="25">IFERROR(AV5/AR5,0)</f>
        <v>0</v>
      </c>
      <c r="AX5" s="172">
        <f t="shared" ref="AX5:AX35" si="26">IFERROR(AV5/AQ5,0)</f>
        <v>0</v>
      </c>
      <c r="AZ5" s="151">
        <v>46174</v>
      </c>
      <c r="BA5" s="152"/>
      <c r="BB5" s="153"/>
      <c r="BC5" s="154"/>
      <c r="BD5" s="154"/>
      <c r="BE5" s="155"/>
      <c r="BF5" s="152">
        <f t="shared" ref="BF5:BF11" si="27">SUM(BB5:BE5)</f>
        <v>0</v>
      </c>
      <c r="BG5" s="156">
        <f t="shared" ref="BG5:BG11" si="28">IFERROR(BF5/BB5,0)</f>
        <v>0</v>
      </c>
      <c r="BH5" s="157">
        <f t="shared" ref="BH5:BH34" si="29">IFERROR(BF5/BA5,0)</f>
        <v>0</v>
      </c>
      <c r="BJ5" s="166">
        <v>46204</v>
      </c>
      <c r="BK5" s="167"/>
      <c r="BL5" s="168"/>
      <c r="BM5" s="169"/>
      <c r="BN5" s="169"/>
      <c r="BO5" s="170"/>
      <c r="BP5" s="167">
        <f t="shared" ref="BP5:BP11" si="30">SUM(BL5:BO5)</f>
        <v>0</v>
      </c>
      <c r="BQ5" s="171">
        <f t="shared" ref="BQ5:BQ11" si="31">IFERROR(BP5/BL5,0)</f>
        <v>0</v>
      </c>
      <c r="BR5" s="172">
        <f t="shared" ref="BR5:BR35" si="32">IFERROR(BP5/BK5,0)</f>
        <v>0</v>
      </c>
      <c r="BT5" s="166">
        <v>46235</v>
      </c>
      <c r="BU5" s="167"/>
      <c r="BV5" s="168"/>
      <c r="BW5" s="169"/>
      <c r="BX5" s="169"/>
      <c r="BY5" s="170"/>
      <c r="BZ5" s="167">
        <f t="shared" ref="BZ5:BZ11" si="33">SUM(BV5:BY5)</f>
        <v>0</v>
      </c>
      <c r="CA5" s="171">
        <f t="shared" ref="CA5:CA11" si="34">IFERROR(BZ5/BV5,0)</f>
        <v>0</v>
      </c>
      <c r="CB5" s="172">
        <f t="shared" ref="CB5:CB35" si="35">IFERROR(BZ5/BU5,0)</f>
        <v>0</v>
      </c>
      <c r="CD5" s="151">
        <v>46266</v>
      </c>
      <c r="CE5" s="152"/>
      <c r="CF5" s="153"/>
      <c r="CG5" s="154"/>
      <c r="CH5" s="154"/>
      <c r="CI5" s="155"/>
      <c r="CJ5" s="152">
        <f t="shared" ref="CJ5:CJ11" si="36">SUM(CF5:CI5)</f>
        <v>0</v>
      </c>
      <c r="CK5" s="156">
        <f t="shared" ref="CK5:CK11" si="37">IFERROR(CJ5/CF5,0)</f>
        <v>0</v>
      </c>
      <c r="CL5" s="157">
        <f t="shared" ref="CL5:CL34" si="38">IFERROR(CJ5/CE5,0)</f>
        <v>0</v>
      </c>
      <c r="CN5" s="166">
        <v>46296</v>
      </c>
      <c r="CO5" s="167"/>
      <c r="CP5" s="168"/>
      <c r="CQ5" s="169"/>
      <c r="CR5" s="169"/>
      <c r="CS5" s="170"/>
      <c r="CT5" s="167">
        <f t="shared" ref="CT5:CT11" si="39">SUM(CP5:CS5)</f>
        <v>0</v>
      </c>
      <c r="CU5" s="171">
        <f t="shared" ref="CU5:CU11" si="40">IFERROR(CT5/CP5,0)</f>
        <v>0</v>
      </c>
      <c r="CV5" s="172">
        <f t="shared" ref="CV5:CV35" si="41">IFERROR(CT5/CO5,0)</f>
        <v>0</v>
      </c>
      <c r="CX5" s="151">
        <v>46327</v>
      </c>
      <c r="CY5" s="152"/>
      <c r="CZ5" s="153"/>
      <c r="DA5" s="154"/>
      <c r="DB5" s="154"/>
      <c r="DC5" s="155"/>
      <c r="DD5" s="152">
        <f t="shared" ref="DD5:DD11" si="42">SUM(CZ5:DC5)</f>
        <v>0</v>
      </c>
      <c r="DE5" s="156">
        <f t="shared" ref="DE5:DE11" si="43">IFERROR(DD5/CZ5,0)</f>
        <v>0</v>
      </c>
      <c r="DF5" s="157">
        <f t="shared" ref="DF5:DF34" si="44">IFERROR(DD5/CY5,0)</f>
        <v>0</v>
      </c>
      <c r="DH5" s="166">
        <v>46357</v>
      </c>
      <c r="DI5" s="167"/>
      <c r="DJ5" s="168"/>
      <c r="DK5" s="169"/>
      <c r="DL5" s="169"/>
      <c r="DM5" s="170"/>
      <c r="DN5" s="167">
        <f t="shared" ref="DN5:DN11" si="45">SUM(DJ5:DM5)</f>
        <v>0</v>
      </c>
      <c r="DO5" s="171">
        <f t="shared" ref="DO5:DO11" si="46">IFERROR(DN5/DJ5,0)</f>
        <v>0</v>
      </c>
      <c r="DP5" s="172">
        <f t="shared" ref="DP5:DP35" si="47">IFERROR(DN5/DI5,0)</f>
        <v>0</v>
      </c>
    </row>
    <row r="6" spans="2:120">
      <c r="B6" s="95">
        <v>46024</v>
      </c>
      <c r="C6" s="94">
        <v>0</v>
      </c>
      <c r="D6" s="91">
        <v>0</v>
      </c>
      <c r="E6" s="93">
        <v>0</v>
      </c>
      <c r="F6" s="93">
        <v>0</v>
      </c>
      <c r="G6" s="92">
        <v>0</v>
      </c>
      <c r="H6" s="94">
        <f t="shared" si="12"/>
        <v>0</v>
      </c>
      <c r="I6" s="116">
        <f t="shared" si="13"/>
        <v>0</v>
      </c>
      <c r="J6" s="89">
        <f t="shared" si="14"/>
        <v>0</v>
      </c>
      <c r="K6" s="111"/>
      <c r="L6" s="95">
        <v>46055</v>
      </c>
      <c r="M6" s="94"/>
      <c r="N6" s="91"/>
      <c r="O6" s="93"/>
      <c r="P6" s="93"/>
      <c r="Q6" s="92"/>
      <c r="R6" s="91">
        <f t="shared" si="15"/>
        <v>0</v>
      </c>
      <c r="S6" s="90">
        <f t="shared" si="16"/>
        <v>0</v>
      </c>
      <c r="T6" s="89">
        <f t="shared" si="17"/>
        <v>0</v>
      </c>
      <c r="V6" s="95">
        <v>46083</v>
      </c>
      <c r="W6" s="94"/>
      <c r="X6" s="91"/>
      <c r="Y6" s="93"/>
      <c r="Z6" s="93"/>
      <c r="AA6" s="92"/>
      <c r="AB6" s="94">
        <f t="shared" si="18"/>
        <v>0</v>
      </c>
      <c r="AC6" s="116">
        <f t="shared" si="19"/>
        <v>0</v>
      </c>
      <c r="AD6" s="89">
        <f t="shared" si="20"/>
        <v>0</v>
      </c>
      <c r="AF6" s="95">
        <v>46114</v>
      </c>
      <c r="AG6" s="94"/>
      <c r="AH6" s="91"/>
      <c r="AI6" s="93"/>
      <c r="AJ6" s="93"/>
      <c r="AK6" s="92"/>
      <c r="AL6" s="94">
        <f t="shared" si="21"/>
        <v>0</v>
      </c>
      <c r="AM6" s="116">
        <f t="shared" si="22"/>
        <v>0</v>
      </c>
      <c r="AN6" s="89">
        <f t="shared" si="23"/>
        <v>0</v>
      </c>
      <c r="AP6" s="95">
        <v>46144</v>
      </c>
      <c r="AQ6" s="94"/>
      <c r="AR6" s="91"/>
      <c r="AS6" s="93"/>
      <c r="AT6" s="93"/>
      <c r="AU6" s="92"/>
      <c r="AV6" s="94">
        <f t="shared" si="24"/>
        <v>0</v>
      </c>
      <c r="AW6" s="116">
        <f t="shared" si="25"/>
        <v>0</v>
      </c>
      <c r="AX6" s="89">
        <f t="shared" si="26"/>
        <v>0</v>
      </c>
      <c r="AZ6" s="95">
        <v>46175</v>
      </c>
      <c r="BA6" s="94"/>
      <c r="BB6" s="91"/>
      <c r="BC6" s="93"/>
      <c r="BD6" s="93"/>
      <c r="BE6" s="92"/>
      <c r="BF6" s="94">
        <f t="shared" si="27"/>
        <v>0</v>
      </c>
      <c r="BG6" s="116">
        <f t="shared" si="28"/>
        <v>0</v>
      </c>
      <c r="BH6" s="89">
        <f t="shared" si="29"/>
        <v>0</v>
      </c>
      <c r="BJ6" s="95">
        <v>46205</v>
      </c>
      <c r="BK6" s="94"/>
      <c r="BL6" s="91"/>
      <c r="BM6" s="93"/>
      <c r="BN6" s="93"/>
      <c r="BO6" s="92"/>
      <c r="BP6" s="94">
        <f t="shared" si="30"/>
        <v>0</v>
      </c>
      <c r="BQ6" s="116">
        <f t="shared" si="31"/>
        <v>0</v>
      </c>
      <c r="BR6" s="89">
        <f t="shared" si="32"/>
        <v>0</v>
      </c>
      <c r="BT6" s="95">
        <v>46236</v>
      </c>
      <c r="BU6" s="94"/>
      <c r="BV6" s="91"/>
      <c r="BW6" s="93"/>
      <c r="BX6" s="93"/>
      <c r="BY6" s="92"/>
      <c r="BZ6" s="94">
        <f t="shared" si="33"/>
        <v>0</v>
      </c>
      <c r="CA6" s="116">
        <f t="shared" si="34"/>
        <v>0</v>
      </c>
      <c r="CB6" s="89">
        <f t="shared" si="35"/>
        <v>0</v>
      </c>
      <c r="CD6" s="95">
        <v>46267</v>
      </c>
      <c r="CE6" s="94"/>
      <c r="CF6" s="91"/>
      <c r="CG6" s="93"/>
      <c r="CH6" s="93"/>
      <c r="CI6" s="92"/>
      <c r="CJ6" s="94">
        <f t="shared" si="36"/>
        <v>0</v>
      </c>
      <c r="CK6" s="116">
        <f t="shared" si="37"/>
        <v>0</v>
      </c>
      <c r="CL6" s="89">
        <f t="shared" si="38"/>
        <v>0</v>
      </c>
      <c r="CN6" s="95">
        <v>46297</v>
      </c>
      <c r="CO6" s="94"/>
      <c r="CP6" s="91"/>
      <c r="CQ6" s="93"/>
      <c r="CR6" s="93"/>
      <c r="CS6" s="92"/>
      <c r="CT6" s="94">
        <f t="shared" si="39"/>
        <v>0</v>
      </c>
      <c r="CU6" s="116">
        <f t="shared" si="40"/>
        <v>0</v>
      </c>
      <c r="CV6" s="89">
        <f t="shared" si="41"/>
        <v>0</v>
      </c>
      <c r="CX6" s="95">
        <v>46328</v>
      </c>
      <c r="CY6" s="94"/>
      <c r="CZ6" s="91"/>
      <c r="DA6" s="93"/>
      <c r="DB6" s="93"/>
      <c r="DC6" s="92"/>
      <c r="DD6" s="94">
        <f t="shared" si="42"/>
        <v>0</v>
      </c>
      <c r="DE6" s="116">
        <f t="shared" si="43"/>
        <v>0</v>
      </c>
      <c r="DF6" s="89">
        <f t="shared" si="44"/>
        <v>0</v>
      </c>
      <c r="DH6" s="95">
        <v>46358</v>
      </c>
      <c r="DI6" s="94"/>
      <c r="DJ6" s="91"/>
      <c r="DK6" s="93"/>
      <c r="DL6" s="93"/>
      <c r="DM6" s="92"/>
      <c r="DN6" s="94">
        <f t="shared" si="45"/>
        <v>0</v>
      </c>
      <c r="DO6" s="116">
        <f t="shared" si="46"/>
        <v>0</v>
      </c>
      <c r="DP6" s="89">
        <f t="shared" si="47"/>
        <v>0</v>
      </c>
    </row>
    <row r="7" spans="2:120">
      <c r="B7" s="95">
        <v>46025</v>
      </c>
      <c r="C7" s="94">
        <v>0</v>
      </c>
      <c r="D7" s="91">
        <v>0</v>
      </c>
      <c r="E7" s="93">
        <v>0</v>
      </c>
      <c r="F7" s="93">
        <v>0</v>
      </c>
      <c r="G7" s="92">
        <v>0</v>
      </c>
      <c r="H7" s="94">
        <f t="shared" si="12"/>
        <v>0</v>
      </c>
      <c r="I7" s="116">
        <f t="shared" si="13"/>
        <v>0</v>
      </c>
      <c r="J7" s="89">
        <f t="shared" si="14"/>
        <v>0</v>
      </c>
      <c r="K7" s="111"/>
      <c r="L7" s="95">
        <v>46056</v>
      </c>
      <c r="M7" s="94"/>
      <c r="N7" s="91"/>
      <c r="O7" s="93"/>
      <c r="P7" s="93"/>
      <c r="Q7" s="92"/>
      <c r="R7" s="91">
        <f t="shared" si="15"/>
        <v>0</v>
      </c>
      <c r="S7" s="90">
        <f t="shared" si="16"/>
        <v>0</v>
      </c>
      <c r="T7" s="89">
        <f t="shared" si="17"/>
        <v>0</v>
      </c>
      <c r="V7" s="95">
        <v>46084</v>
      </c>
      <c r="W7" s="94"/>
      <c r="X7" s="91"/>
      <c r="Y7" s="93"/>
      <c r="Z7" s="93"/>
      <c r="AA7" s="92"/>
      <c r="AB7" s="94">
        <f t="shared" si="18"/>
        <v>0</v>
      </c>
      <c r="AC7" s="116">
        <f t="shared" si="19"/>
        <v>0</v>
      </c>
      <c r="AD7" s="89">
        <f t="shared" si="20"/>
        <v>0</v>
      </c>
      <c r="AF7" s="95">
        <v>46115</v>
      </c>
      <c r="AG7" s="94"/>
      <c r="AH7" s="91"/>
      <c r="AI7" s="93"/>
      <c r="AJ7" s="93"/>
      <c r="AK7" s="92"/>
      <c r="AL7" s="94">
        <f t="shared" si="21"/>
        <v>0</v>
      </c>
      <c r="AM7" s="116">
        <f t="shared" si="22"/>
        <v>0</v>
      </c>
      <c r="AN7" s="89">
        <f t="shared" si="23"/>
        <v>0</v>
      </c>
      <c r="AP7" s="95">
        <v>46145</v>
      </c>
      <c r="AQ7" s="94"/>
      <c r="AR7" s="91"/>
      <c r="AS7" s="93"/>
      <c r="AT7" s="93"/>
      <c r="AU7" s="92"/>
      <c r="AV7" s="94">
        <f t="shared" si="24"/>
        <v>0</v>
      </c>
      <c r="AW7" s="116">
        <f t="shared" si="25"/>
        <v>0</v>
      </c>
      <c r="AX7" s="89">
        <f t="shared" si="26"/>
        <v>0</v>
      </c>
      <c r="AZ7" s="95">
        <v>46176</v>
      </c>
      <c r="BA7" s="94"/>
      <c r="BB7" s="91"/>
      <c r="BC7" s="93"/>
      <c r="BD7" s="93"/>
      <c r="BE7" s="92"/>
      <c r="BF7" s="94">
        <f t="shared" si="27"/>
        <v>0</v>
      </c>
      <c r="BG7" s="116">
        <f t="shared" si="28"/>
        <v>0</v>
      </c>
      <c r="BH7" s="89">
        <f t="shared" si="29"/>
        <v>0</v>
      </c>
      <c r="BJ7" s="95">
        <v>46206</v>
      </c>
      <c r="BK7" s="94"/>
      <c r="BL7" s="91"/>
      <c r="BM7" s="93"/>
      <c r="BN7" s="93"/>
      <c r="BO7" s="92"/>
      <c r="BP7" s="94">
        <f t="shared" si="30"/>
        <v>0</v>
      </c>
      <c r="BQ7" s="116">
        <f t="shared" si="31"/>
        <v>0</v>
      </c>
      <c r="BR7" s="89">
        <f t="shared" si="32"/>
        <v>0</v>
      </c>
      <c r="BT7" s="95">
        <v>46237</v>
      </c>
      <c r="BU7" s="94"/>
      <c r="BV7" s="91"/>
      <c r="BW7" s="93"/>
      <c r="BX7" s="93"/>
      <c r="BY7" s="92"/>
      <c r="BZ7" s="94">
        <f t="shared" si="33"/>
        <v>0</v>
      </c>
      <c r="CA7" s="116">
        <f t="shared" si="34"/>
        <v>0</v>
      </c>
      <c r="CB7" s="89">
        <f t="shared" si="35"/>
        <v>0</v>
      </c>
      <c r="CD7" s="95">
        <v>46268</v>
      </c>
      <c r="CE7" s="94"/>
      <c r="CF7" s="91"/>
      <c r="CG7" s="93"/>
      <c r="CH7" s="93"/>
      <c r="CI7" s="92"/>
      <c r="CJ7" s="94">
        <f t="shared" si="36"/>
        <v>0</v>
      </c>
      <c r="CK7" s="116">
        <f t="shared" si="37"/>
        <v>0</v>
      </c>
      <c r="CL7" s="89">
        <f t="shared" si="38"/>
        <v>0</v>
      </c>
      <c r="CN7" s="95">
        <v>46298</v>
      </c>
      <c r="CO7" s="94"/>
      <c r="CP7" s="91"/>
      <c r="CQ7" s="93"/>
      <c r="CR7" s="93"/>
      <c r="CS7" s="92"/>
      <c r="CT7" s="94">
        <f t="shared" si="39"/>
        <v>0</v>
      </c>
      <c r="CU7" s="116">
        <f t="shared" si="40"/>
        <v>0</v>
      </c>
      <c r="CV7" s="89">
        <f t="shared" si="41"/>
        <v>0</v>
      </c>
      <c r="CX7" s="95">
        <v>46329</v>
      </c>
      <c r="CY7" s="94"/>
      <c r="CZ7" s="91"/>
      <c r="DA7" s="93"/>
      <c r="DB7" s="93"/>
      <c r="DC7" s="92"/>
      <c r="DD7" s="94">
        <f t="shared" si="42"/>
        <v>0</v>
      </c>
      <c r="DE7" s="116">
        <f t="shared" si="43"/>
        <v>0</v>
      </c>
      <c r="DF7" s="89">
        <f t="shared" si="44"/>
        <v>0</v>
      </c>
      <c r="DH7" s="95">
        <v>46359</v>
      </c>
      <c r="DI7" s="94"/>
      <c r="DJ7" s="91"/>
      <c r="DK7" s="93"/>
      <c r="DL7" s="93"/>
      <c r="DM7" s="92"/>
      <c r="DN7" s="94">
        <f t="shared" si="45"/>
        <v>0</v>
      </c>
      <c r="DO7" s="116">
        <f t="shared" si="46"/>
        <v>0</v>
      </c>
      <c r="DP7" s="89">
        <f t="shared" si="47"/>
        <v>0</v>
      </c>
    </row>
    <row r="8" spans="2:120">
      <c r="B8" s="95">
        <v>46026</v>
      </c>
      <c r="C8" s="94">
        <v>0</v>
      </c>
      <c r="D8" s="91">
        <v>0</v>
      </c>
      <c r="E8" s="93">
        <v>0</v>
      </c>
      <c r="F8" s="93">
        <v>0</v>
      </c>
      <c r="G8" s="92">
        <v>0</v>
      </c>
      <c r="H8" s="94">
        <f t="shared" si="12"/>
        <v>0</v>
      </c>
      <c r="I8" s="116">
        <f t="shared" si="13"/>
        <v>0</v>
      </c>
      <c r="J8" s="89">
        <f t="shared" si="14"/>
        <v>0</v>
      </c>
      <c r="K8" s="111"/>
      <c r="L8" s="95">
        <v>46057</v>
      </c>
      <c r="M8" s="94"/>
      <c r="N8" s="91"/>
      <c r="O8" s="93"/>
      <c r="P8" s="93"/>
      <c r="Q8" s="92"/>
      <c r="R8" s="91">
        <f t="shared" si="15"/>
        <v>0</v>
      </c>
      <c r="S8" s="90">
        <f t="shared" si="16"/>
        <v>0</v>
      </c>
      <c r="T8" s="89">
        <f t="shared" si="17"/>
        <v>0</v>
      </c>
      <c r="V8" s="95">
        <v>46085</v>
      </c>
      <c r="W8" s="94"/>
      <c r="X8" s="91"/>
      <c r="Y8" s="93"/>
      <c r="Z8" s="93"/>
      <c r="AA8" s="92"/>
      <c r="AB8" s="94">
        <f t="shared" si="18"/>
        <v>0</v>
      </c>
      <c r="AC8" s="116">
        <f t="shared" si="19"/>
        <v>0</v>
      </c>
      <c r="AD8" s="89">
        <f t="shared" si="20"/>
        <v>0</v>
      </c>
      <c r="AF8" s="95">
        <v>46116</v>
      </c>
      <c r="AG8" s="94"/>
      <c r="AH8" s="91"/>
      <c r="AI8" s="93"/>
      <c r="AJ8" s="93"/>
      <c r="AK8" s="92"/>
      <c r="AL8" s="94">
        <f t="shared" si="21"/>
        <v>0</v>
      </c>
      <c r="AM8" s="116">
        <f t="shared" si="22"/>
        <v>0</v>
      </c>
      <c r="AN8" s="89">
        <f t="shared" si="23"/>
        <v>0</v>
      </c>
      <c r="AP8" s="95">
        <v>46146</v>
      </c>
      <c r="AQ8" s="94"/>
      <c r="AR8" s="91"/>
      <c r="AS8" s="93"/>
      <c r="AT8" s="93"/>
      <c r="AU8" s="92"/>
      <c r="AV8" s="94">
        <f t="shared" si="24"/>
        <v>0</v>
      </c>
      <c r="AW8" s="116">
        <f t="shared" si="25"/>
        <v>0</v>
      </c>
      <c r="AX8" s="89">
        <f t="shared" si="26"/>
        <v>0</v>
      </c>
      <c r="AZ8" s="95">
        <v>46177</v>
      </c>
      <c r="BA8" s="94"/>
      <c r="BB8" s="91"/>
      <c r="BC8" s="93"/>
      <c r="BD8" s="93"/>
      <c r="BE8" s="92"/>
      <c r="BF8" s="94">
        <f t="shared" si="27"/>
        <v>0</v>
      </c>
      <c r="BG8" s="116">
        <f t="shared" si="28"/>
        <v>0</v>
      </c>
      <c r="BH8" s="89">
        <f t="shared" si="29"/>
        <v>0</v>
      </c>
      <c r="BJ8" s="95">
        <v>46207</v>
      </c>
      <c r="BK8" s="94"/>
      <c r="BL8" s="91"/>
      <c r="BM8" s="93"/>
      <c r="BN8" s="93"/>
      <c r="BO8" s="92"/>
      <c r="BP8" s="94">
        <f t="shared" si="30"/>
        <v>0</v>
      </c>
      <c r="BQ8" s="116">
        <f t="shared" si="31"/>
        <v>0</v>
      </c>
      <c r="BR8" s="89">
        <f t="shared" si="32"/>
        <v>0</v>
      </c>
      <c r="BT8" s="95">
        <v>46238</v>
      </c>
      <c r="BU8" s="94"/>
      <c r="BV8" s="91"/>
      <c r="BW8" s="93"/>
      <c r="BX8" s="93"/>
      <c r="BY8" s="92"/>
      <c r="BZ8" s="94">
        <f t="shared" si="33"/>
        <v>0</v>
      </c>
      <c r="CA8" s="116">
        <f t="shared" si="34"/>
        <v>0</v>
      </c>
      <c r="CB8" s="89">
        <f t="shared" si="35"/>
        <v>0</v>
      </c>
      <c r="CD8" s="95">
        <v>46269</v>
      </c>
      <c r="CE8" s="94"/>
      <c r="CF8" s="91"/>
      <c r="CG8" s="93"/>
      <c r="CH8" s="93"/>
      <c r="CI8" s="92"/>
      <c r="CJ8" s="94">
        <f t="shared" si="36"/>
        <v>0</v>
      </c>
      <c r="CK8" s="116">
        <f t="shared" si="37"/>
        <v>0</v>
      </c>
      <c r="CL8" s="89">
        <f t="shared" si="38"/>
        <v>0</v>
      </c>
      <c r="CN8" s="95">
        <v>46299</v>
      </c>
      <c r="CO8" s="94"/>
      <c r="CP8" s="91"/>
      <c r="CQ8" s="93"/>
      <c r="CR8" s="93"/>
      <c r="CS8" s="92"/>
      <c r="CT8" s="94">
        <f t="shared" si="39"/>
        <v>0</v>
      </c>
      <c r="CU8" s="116">
        <f t="shared" si="40"/>
        <v>0</v>
      </c>
      <c r="CV8" s="89">
        <f t="shared" si="41"/>
        <v>0</v>
      </c>
      <c r="CX8" s="95">
        <v>46330</v>
      </c>
      <c r="CY8" s="94"/>
      <c r="CZ8" s="91"/>
      <c r="DA8" s="93"/>
      <c r="DB8" s="93"/>
      <c r="DC8" s="92"/>
      <c r="DD8" s="94">
        <f t="shared" si="42"/>
        <v>0</v>
      </c>
      <c r="DE8" s="116">
        <f t="shared" si="43"/>
        <v>0</v>
      </c>
      <c r="DF8" s="89">
        <f t="shared" si="44"/>
        <v>0</v>
      </c>
      <c r="DH8" s="95">
        <v>46360</v>
      </c>
      <c r="DI8" s="94"/>
      <c r="DJ8" s="91"/>
      <c r="DK8" s="93"/>
      <c r="DL8" s="93"/>
      <c r="DM8" s="92"/>
      <c r="DN8" s="94">
        <f t="shared" si="45"/>
        <v>0</v>
      </c>
      <c r="DO8" s="116">
        <f>IFERROR(DN8/DJ8,0)</f>
        <v>0</v>
      </c>
      <c r="DP8" s="89">
        <f t="shared" si="47"/>
        <v>0</v>
      </c>
    </row>
    <row r="9" spans="2:120">
      <c r="B9" s="95">
        <v>46027</v>
      </c>
      <c r="C9" s="94">
        <v>25</v>
      </c>
      <c r="D9" s="91">
        <v>17603</v>
      </c>
      <c r="E9" s="93">
        <v>1907</v>
      </c>
      <c r="F9" s="93">
        <v>651</v>
      </c>
      <c r="G9" s="92">
        <v>6291</v>
      </c>
      <c r="H9" s="94">
        <f t="shared" si="12"/>
        <v>26452</v>
      </c>
      <c r="I9" s="116">
        <f t="shared" si="13"/>
        <v>1.5026984036811908</v>
      </c>
      <c r="J9" s="89">
        <f t="shared" si="14"/>
        <v>1058.08</v>
      </c>
      <c r="K9" s="111"/>
      <c r="L9" s="95">
        <v>46058</v>
      </c>
      <c r="M9" s="94"/>
      <c r="N9" s="91"/>
      <c r="O9" s="93"/>
      <c r="P9" s="93"/>
      <c r="Q9" s="92"/>
      <c r="R9" s="91">
        <f t="shared" si="15"/>
        <v>0</v>
      </c>
      <c r="S9" s="90">
        <f t="shared" si="16"/>
        <v>0</v>
      </c>
      <c r="T9" s="89">
        <f t="shared" si="17"/>
        <v>0</v>
      </c>
      <c r="V9" s="95">
        <v>46086</v>
      </c>
      <c r="W9" s="94"/>
      <c r="X9" s="91"/>
      <c r="Y9" s="93"/>
      <c r="Z9" s="93"/>
      <c r="AA9" s="92"/>
      <c r="AB9" s="94">
        <f t="shared" si="18"/>
        <v>0</v>
      </c>
      <c r="AC9" s="116">
        <f t="shared" si="19"/>
        <v>0</v>
      </c>
      <c r="AD9" s="89">
        <f t="shared" si="20"/>
        <v>0</v>
      </c>
      <c r="AF9" s="95">
        <v>46117</v>
      </c>
      <c r="AG9" s="94"/>
      <c r="AH9" s="91"/>
      <c r="AI9" s="93"/>
      <c r="AJ9" s="93"/>
      <c r="AK9" s="92"/>
      <c r="AL9" s="94">
        <f t="shared" si="21"/>
        <v>0</v>
      </c>
      <c r="AM9" s="116">
        <f t="shared" si="22"/>
        <v>0</v>
      </c>
      <c r="AN9" s="89">
        <f t="shared" si="23"/>
        <v>0</v>
      </c>
      <c r="AP9" s="95">
        <v>46147</v>
      </c>
      <c r="AQ9" s="94"/>
      <c r="AR9" s="91"/>
      <c r="AS9" s="93"/>
      <c r="AT9" s="93"/>
      <c r="AU9" s="92"/>
      <c r="AV9" s="94">
        <f t="shared" si="24"/>
        <v>0</v>
      </c>
      <c r="AW9" s="116">
        <f t="shared" si="25"/>
        <v>0</v>
      </c>
      <c r="AX9" s="89">
        <f t="shared" si="26"/>
        <v>0</v>
      </c>
      <c r="AZ9" s="95">
        <v>46178</v>
      </c>
      <c r="BA9" s="94"/>
      <c r="BB9" s="91"/>
      <c r="BC9" s="93"/>
      <c r="BD9" s="93"/>
      <c r="BE9" s="92"/>
      <c r="BF9" s="94">
        <f t="shared" si="27"/>
        <v>0</v>
      </c>
      <c r="BG9" s="116">
        <f t="shared" si="28"/>
        <v>0</v>
      </c>
      <c r="BH9" s="89">
        <f t="shared" si="29"/>
        <v>0</v>
      </c>
      <c r="BJ9" s="95">
        <v>46208</v>
      </c>
      <c r="BK9" s="94"/>
      <c r="BL9" s="91"/>
      <c r="BM9" s="93"/>
      <c r="BN9" s="93"/>
      <c r="BO9" s="92"/>
      <c r="BP9" s="94">
        <f t="shared" si="30"/>
        <v>0</v>
      </c>
      <c r="BQ9" s="116">
        <f t="shared" si="31"/>
        <v>0</v>
      </c>
      <c r="BR9" s="89">
        <f t="shared" si="32"/>
        <v>0</v>
      </c>
      <c r="BT9" s="95">
        <v>46239</v>
      </c>
      <c r="BU9" s="94"/>
      <c r="BV9" s="91"/>
      <c r="BW9" s="93"/>
      <c r="BX9" s="93"/>
      <c r="BY9" s="92"/>
      <c r="BZ9" s="94">
        <f t="shared" si="33"/>
        <v>0</v>
      </c>
      <c r="CA9" s="116">
        <f t="shared" si="34"/>
        <v>0</v>
      </c>
      <c r="CB9" s="89">
        <f t="shared" si="35"/>
        <v>0</v>
      </c>
      <c r="CD9" s="95">
        <v>46270</v>
      </c>
      <c r="CE9" s="94"/>
      <c r="CF9" s="91"/>
      <c r="CG9" s="93"/>
      <c r="CH9" s="93"/>
      <c r="CI9" s="92"/>
      <c r="CJ9" s="94">
        <f t="shared" si="36"/>
        <v>0</v>
      </c>
      <c r="CK9" s="116">
        <f t="shared" si="37"/>
        <v>0</v>
      </c>
      <c r="CL9" s="89">
        <f t="shared" si="38"/>
        <v>0</v>
      </c>
      <c r="CN9" s="95">
        <v>46300</v>
      </c>
      <c r="CO9" s="94"/>
      <c r="CP9" s="91"/>
      <c r="CQ9" s="93"/>
      <c r="CR9" s="93"/>
      <c r="CS9" s="92"/>
      <c r="CT9" s="94">
        <f t="shared" si="39"/>
        <v>0</v>
      </c>
      <c r="CU9" s="116">
        <f t="shared" si="40"/>
        <v>0</v>
      </c>
      <c r="CV9" s="89">
        <f t="shared" si="41"/>
        <v>0</v>
      </c>
      <c r="CX9" s="95">
        <v>46331</v>
      </c>
      <c r="CY9" s="94"/>
      <c r="CZ9" s="91"/>
      <c r="DA9" s="93"/>
      <c r="DB9" s="93"/>
      <c r="DC9" s="92"/>
      <c r="DD9" s="94">
        <f t="shared" si="42"/>
        <v>0</v>
      </c>
      <c r="DE9" s="116">
        <f t="shared" si="43"/>
        <v>0</v>
      </c>
      <c r="DF9" s="89">
        <f t="shared" si="44"/>
        <v>0</v>
      </c>
      <c r="DH9" s="95">
        <v>46361</v>
      </c>
      <c r="DI9" s="94"/>
      <c r="DJ9" s="91"/>
      <c r="DK9" s="93"/>
      <c r="DL9" s="93"/>
      <c r="DM9" s="92"/>
      <c r="DN9" s="94">
        <f>SUM(DJ9:DM9)</f>
        <v>0</v>
      </c>
      <c r="DO9" s="116">
        <f>IFERROR(DN9/DJ9,0)</f>
        <v>0</v>
      </c>
      <c r="DP9" s="89">
        <f t="shared" si="47"/>
        <v>0</v>
      </c>
    </row>
    <row r="10" spans="2:120">
      <c r="B10" s="95">
        <v>46028</v>
      </c>
      <c r="C10" s="94">
        <v>11</v>
      </c>
      <c r="D10" s="91">
        <v>7737</v>
      </c>
      <c r="E10" s="93">
        <v>831</v>
      </c>
      <c r="F10" s="93">
        <v>277</v>
      </c>
      <c r="G10" s="92">
        <v>2741</v>
      </c>
      <c r="H10" s="94">
        <f t="shared" si="12"/>
        <v>11586</v>
      </c>
      <c r="I10" s="116">
        <f t="shared" si="13"/>
        <v>1.4974796432725863</v>
      </c>
      <c r="J10" s="89">
        <f t="shared" si="14"/>
        <v>1053.2727272727273</v>
      </c>
      <c r="K10" s="111"/>
      <c r="L10" s="95">
        <v>46059</v>
      </c>
      <c r="M10" s="94"/>
      <c r="N10" s="91"/>
      <c r="O10" s="93"/>
      <c r="P10" s="93"/>
      <c r="Q10" s="92"/>
      <c r="R10" s="91">
        <f t="shared" si="15"/>
        <v>0</v>
      </c>
      <c r="S10" s="90">
        <f t="shared" si="16"/>
        <v>0</v>
      </c>
      <c r="T10" s="89">
        <f t="shared" si="17"/>
        <v>0</v>
      </c>
      <c r="V10" s="95">
        <v>46087</v>
      </c>
      <c r="W10" s="94"/>
      <c r="X10" s="91"/>
      <c r="Y10" s="93"/>
      <c r="Z10" s="93"/>
      <c r="AA10" s="92"/>
      <c r="AB10" s="94">
        <f t="shared" si="18"/>
        <v>0</v>
      </c>
      <c r="AC10" s="116">
        <f t="shared" si="19"/>
        <v>0</v>
      </c>
      <c r="AD10" s="89">
        <f t="shared" si="20"/>
        <v>0</v>
      </c>
      <c r="AF10" s="95">
        <v>46118</v>
      </c>
      <c r="AG10" s="94"/>
      <c r="AH10" s="91"/>
      <c r="AI10" s="93"/>
      <c r="AJ10" s="93"/>
      <c r="AK10" s="92"/>
      <c r="AL10" s="94">
        <f t="shared" si="21"/>
        <v>0</v>
      </c>
      <c r="AM10" s="116">
        <f t="shared" si="22"/>
        <v>0</v>
      </c>
      <c r="AN10" s="89">
        <f t="shared" si="23"/>
        <v>0</v>
      </c>
      <c r="AP10" s="95">
        <v>46148</v>
      </c>
      <c r="AQ10" s="94"/>
      <c r="AR10" s="91"/>
      <c r="AS10" s="93"/>
      <c r="AT10" s="93"/>
      <c r="AU10" s="92"/>
      <c r="AV10" s="94">
        <f t="shared" si="24"/>
        <v>0</v>
      </c>
      <c r="AW10" s="116">
        <f t="shared" si="25"/>
        <v>0</v>
      </c>
      <c r="AX10" s="89">
        <f t="shared" si="26"/>
        <v>0</v>
      </c>
      <c r="AZ10" s="95">
        <v>46179</v>
      </c>
      <c r="BA10" s="94"/>
      <c r="BB10" s="91"/>
      <c r="BC10" s="93"/>
      <c r="BD10" s="93"/>
      <c r="BE10" s="92"/>
      <c r="BF10" s="94">
        <f t="shared" si="27"/>
        <v>0</v>
      </c>
      <c r="BG10" s="116">
        <f t="shared" si="28"/>
        <v>0</v>
      </c>
      <c r="BH10" s="89">
        <f t="shared" si="29"/>
        <v>0</v>
      </c>
      <c r="BJ10" s="95">
        <v>46209</v>
      </c>
      <c r="BK10" s="94"/>
      <c r="BL10" s="91"/>
      <c r="BM10" s="93"/>
      <c r="BN10" s="93"/>
      <c r="BO10" s="92"/>
      <c r="BP10" s="94">
        <f t="shared" si="30"/>
        <v>0</v>
      </c>
      <c r="BQ10" s="116">
        <f t="shared" si="31"/>
        <v>0</v>
      </c>
      <c r="BR10" s="89">
        <f t="shared" si="32"/>
        <v>0</v>
      </c>
      <c r="BT10" s="95">
        <v>46240</v>
      </c>
      <c r="BU10" s="94"/>
      <c r="BV10" s="91"/>
      <c r="BW10" s="93"/>
      <c r="BX10" s="93"/>
      <c r="BY10" s="92"/>
      <c r="BZ10" s="94">
        <f t="shared" si="33"/>
        <v>0</v>
      </c>
      <c r="CA10" s="116">
        <f t="shared" si="34"/>
        <v>0</v>
      </c>
      <c r="CB10" s="89">
        <f t="shared" si="35"/>
        <v>0</v>
      </c>
      <c r="CD10" s="95">
        <v>46271</v>
      </c>
      <c r="CE10" s="94"/>
      <c r="CF10" s="91"/>
      <c r="CG10" s="93"/>
      <c r="CH10" s="93"/>
      <c r="CI10" s="92"/>
      <c r="CJ10" s="94">
        <f t="shared" si="36"/>
        <v>0</v>
      </c>
      <c r="CK10" s="116">
        <f t="shared" si="37"/>
        <v>0</v>
      </c>
      <c r="CL10" s="89">
        <f t="shared" si="38"/>
        <v>0</v>
      </c>
      <c r="CN10" s="95">
        <v>46301</v>
      </c>
      <c r="CO10" s="94"/>
      <c r="CP10" s="91"/>
      <c r="CQ10" s="93"/>
      <c r="CR10" s="93"/>
      <c r="CS10" s="92"/>
      <c r="CT10" s="94">
        <f t="shared" si="39"/>
        <v>0</v>
      </c>
      <c r="CU10" s="116">
        <f t="shared" si="40"/>
        <v>0</v>
      </c>
      <c r="CV10" s="89">
        <f t="shared" si="41"/>
        <v>0</v>
      </c>
      <c r="CX10" s="95">
        <v>46332</v>
      </c>
      <c r="CY10" s="94"/>
      <c r="CZ10" s="91"/>
      <c r="DA10" s="93"/>
      <c r="DB10" s="93"/>
      <c r="DC10" s="92"/>
      <c r="DD10" s="94">
        <f t="shared" si="42"/>
        <v>0</v>
      </c>
      <c r="DE10" s="116">
        <f t="shared" si="43"/>
        <v>0</v>
      </c>
      <c r="DF10" s="89">
        <f t="shared" si="44"/>
        <v>0</v>
      </c>
      <c r="DH10" s="95">
        <v>46362</v>
      </c>
      <c r="DI10" s="94"/>
      <c r="DJ10" s="91"/>
      <c r="DK10" s="93"/>
      <c r="DL10" s="93"/>
      <c r="DM10" s="92"/>
      <c r="DN10" s="94">
        <f t="shared" si="45"/>
        <v>0</v>
      </c>
      <c r="DO10" s="116">
        <f t="shared" si="46"/>
        <v>0</v>
      </c>
      <c r="DP10" s="89">
        <f t="shared" si="47"/>
        <v>0</v>
      </c>
    </row>
    <row r="11" spans="2:120">
      <c r="B11" s="95">
        <v>46029</v>
      </c>
      <c r="C11" s="94">
        <v>0</v>
      </c>
      <c r="D11" s="91">
        <v>0</v>
      </c>
      <c r="E11" s="93">
        <v>0</v>
      </c>
      <c r="F11" s="93">
        <v>0</v>
      </c>
      <c r="G11" s="92">
        <v>0</v>
      </c>
      <c r="H11" s="94">
        <f t="shared" si="12"/>
        <v>0</v>
      </c>
      <c r="I11" s="116">
        <f t="shared" si="13"/>
        <v>0</v>
      </c>
      <c r="J11" s="89">
        <f t="shared" si="14"/>
        <v>0</v>
      </c>
      <c r="K11" s="111"/>
      <c r="L11" s="95">
        <v>46060</v>
      </c>
      <c r="M11" s="94"/>
      <c r="N11" s="91"/>
      <c r="O11" s="93"/>
      <c r="P11" s="93"/>
      <c r="Q11" s="92"/>
      <c r="R11" s="91">
        <f t="shared" si="15"/>
        <v>0</v>
      </c>
      <c r="S11" s="90">
        <f t="shared" si="16"/>
        <v>0</v>
      </c>
      <c r="T11" s="89">
        <f t="shared" si="17"/>
        <v>0</v>
      </c>
      <c r="V11" s="95">
        <v>46088</v>
      </c>
      <c r="W11" s="94"/>
      <c r="X11" s="91"/>
      <c r="Y11" s="93"/>
      <c r="Z11" s="93"/>
      <c r="AA11" s="92"/>
      <c r="AB11" s="94">
        <f t="shared" si="18"/>
        <v>0</v>
      </c>
      <c r="AC11" s="116">
        <f t="shared" si="19"/>
        <v>0</v>
      </c>
      <c r="AD11" s="89">
        <f t="shared" si="20"/>
        <v>0</v>
      </c>
      <c r="AF11" s="95">
        <v>46119</v>
      </c>
      <c r="AG11" s="94"/>
      <c r="AH11" s="91"/>
      <c r="AI11" s="93"/>
      <c r="AJ11" s="93"/>
      <c r="AK11" s="92"/>
      <c r="AL11" s="94">
        <f t="shared" si="21"/>
        <v>0</v>
      </c>
      <c r="AM11" s="116">
        <f t="shared" si="22"/>
        <v>0</v>
      </c>
      <c r="AN11" s="89">
        <f t="shared" si="23"/>
        <v>0</v>
      </c>
      <c r="AP11" s="95">
        <v>46149</v>
      </c>
      <c r="AQ11" s="94"/>
      <c r="AR11" s="91"/>
      <c r="AS11" s="93"/>
      <c r="AT11" s="93"/>
      <c r="AU11" s="92"/>
      <c r="AV11" s="94">
        <f t="shared" si="24"/>
        <v>0</v>
      </c>
      <c r="AW11" s="116">
        <f t="shared" si="25"/>
        <v>0</v>
      </c>
      <c r="AX11" s="89">
        <f t="shared" si="26"/>
        <v>0</v>
      </c>
      <c r="AZ11" s="95">
        <v>46180</v>
      </c>
      <c r="BA11" s="94"/>
      <c r="BB11" s="91"/>
      <c r="BC11" s="93"/>
      <c r="BD11" s="93"/>
      <c r="BE11" s="92"/>
      <c r="BF11" s="94">
        <f t="shared" si="27"/>
        <v>0</v>
      </c>
      <c r="BG11" s="116">
        <f t="shared" si="28"/>
        <v>0</v>
      </c>
      <c r="BH11" s="89">
        <f t="shared" si="29"/>
        <v>0</v>
      </c>
      <c r="BJ11" s="95">
        <v>46210</v>
      </c>
      <c r="BK11" s="94"/>
      <c r="BL11" s="91"/>
      <c r="BM11" s="93"/>
      <c r="BN11" s="93"/>
      <c r="BO11" s="92"/>
      <c r="BP11" s="94">
        <f t="shared" si="30"/>
        <v>0</v>
      </c>
      <c r="BQ11" s="116">
        <f t="shared" si="31"/>
        <v>0</v>
      </c>
      <c r="BR11" s="89">
        <f t="shared" si="32"/>
        <v>0</v>
      </c>
      <c r="BT11" s="95">
        <v>46241</v>
      </c>
      <c r="BU11" s="94"/>
      <c r="BV11" s="91"/>
      <c r="BW11" s="93"/>
      <c r="BX11" s="93"/>
      <c r="BY11" s="92"/>
      <c r="BZ11" s="94">
        <f t="shared" si="33"/>
        <v>0</v>
      </c>
      <c r="CA11" s="116">
        <f t="shared" si="34"/>
        <v>0</v>
      </c>
      <c r="CB11" s="89">
        <f t="shared" si="35"/>
        <v>0</v>
      </c>
      <c r="CD11" s="95">
        <v>46272</v>
      </c>
      <c r="CE11" s="94"/>
      <c r="CF11" s="91"/>
      <c r="CG11" s="93"/>
      <c r="CH11" s="93"/>
      <c r="CI11" s="92"/>
      <c r="CJ11" s="94">
        <f t="shared" si="36"/>
        <v>0</v>
      </c>
      <c r="CK11" s="116">
        <f t="shared" si="37"/>
        <v>0</v>
      </c>
      <c r="CL11" s="89">
        <f t="shared" si="38"/>
        <v>0</v>
      </c>
      <c r="CN11" s="95">
        <v>46302</v>
      </c>
      <c r="CO11" s="94"/>
      <c r="CP11" s="91"/>
      <c r="CQ11" s="93"/>
      <c r="CR11" s="93"/>
      <c r="CS11" s="92"/>
      <c r="CT11" s="94">
        <f t="shared" si="39"/>
        <v>0</v>
      </c>
      <c r="CU11" s="116">
        <f t="shared" si="40"/>
        <v>0</v>
      </c>
      <c r="CV11" s="89">
        <f t="shared" si="41"/>
        <v>0</v>
      </c>
      <c r="CX11" s="95">
        <v>46333</v>
      </c>
      <c r="CY11" s="94"/>
      <c r="CZ11" s="91"/>
      <c r="DA11" s="93"/>
      <c r="DB11" s="93"/>
      <c r="DC11" s="92"/>
      <c r="DD11" s="94">
        <f t="shared" si="42"/>
        <v>0</v>
      </c>
      <c r="DE11" s="116">
        <f t="shared" si="43"/>
        <v>0</v>
      </c>
      <c r="DF11" s="89">
        <f t="shared" si="44"/>
        <v>0</v>
      </c>
      <c r="DH11" s="95">
        <v>46363</v>
      </c>
      <c r="DI11" s="94"/>
      <c r="DJ11" s="91"/>
      <c r="DK11" s="93"/>
      <c r="DL11" s="93"/>
      <c r="DM11" s="92"/>
      <c r="DN11" s="94">
        <f t="shared" si="45"/>
        <v>0</v>
      </c>
      <c r="DO11" s="116">
        <f t="shared" si="46"/>
        <v>0</v>
      </c>
      <c r="DP11" s="89">
        <f t="shared" si="47"/>
        <v>0</v>
      </c>
    </row>
    <row r="12" spans="2:120">
      <c r="B12" s="95">
        <v>46030</v>
      </c>
      <c r="C12" s="94">
        <v>0</v>
      </c>
      <c r="D12" s="91">
        <v>0</v>
      </c>
      <c r="E12" s="93">
        <v>0</v>
      </c>
      <c r="F12" s="93">
        <v>0</v>
      </c>
      <c r="G12" s="92">
        <v>0</v>
      </c>
      <c r="H12" s="94">
        <f t="shared" si="12"/>
        <v>0</v>
      </c>
      <c r="I12" s="116">
        <f t="shared" si="13"/>
        <v>0</v>
      </c>
      <c r="J12" s="89">
        <f t="shared" si="14"/>
        <v>0</v>
      </c>
      <c r="K12" s="111"/>
      <c r="L12" s="95">
        <v>46061</v>
      </c>
      <c r="M12" s="94"/>
      <c r="N12" s="91"/>
      <c r="O12" s="93"/>
      <c r="P12" s="93"/>
      <c r="Q12" s="92"/>
      <c r="R12" s="91">
        <f t="shared" si="15"/>
        <v>0</v>
      </c>
      <c r="S12" s="90">
        <f t="shared" si="16"/>
        <v>0</v>
      </c>
      <c r="T12" s="89">
        <f t="shared" si="17"/>
        <v>0</v>
      </c>
      <c r="V12" s="95">
        <v>46089</v>
      </c>
      <c r="W12" s="94"/>
      <c r="X12" s="91"/>
      <c r="Y12" s="93"/>
      <c r="Z12" s="93"/>
      <c r="AA12" s="92"/>
      <c r="AB12" s="94">
        <f t="shared" si="18"/>
        <v>0</v>
      </c>
      <c r="AC12" s="116">
        <f t="shared" si="19"/>
        <v>0</v>
      </c>
      <c r="AD12" s="89">
        <f t="shared" si="20"/>
        <v>0</v>
      </c>
      <c r="AF12" s="95">
        <v>46120</v>
      </c>
      <c r="AG12" s="94"/>
      <c r="AH12" s="91"/>
      <c r="AI12" s="93"/>
      <c r="AJ12" s="93"/>
      <c r="AK12" s="92"/>
      <c r="AL12" s="94">
        <f t="shared" si="21"/>
        <v>0</v>
      </c>
      <c r="AM12" s="116">
        <f t="shared" si="22"/>
        <v>0</v>
      </c>
      <c r="AN12" s="89">
        <f t="shared" si="23"/>
        <v>0</v>
      </c>
      <c r="AP12" s="95">
        <v>46150</v>
      </c>
      <c r="AQ12" s="94"/>
      <c r="AR12" s="91"/>
      <c r="AS12" s="93"/>
      <c r="AT12" s="93"/>
      <c r="AU12" s="92"/>
      <c r="AV12" s="94">
        <f>SUM(AR12:AU12)</f>
        <v>0</v>
      </c>
      <c r="AW12" s="116">
        <f>IFERROR(AV12/AR12,0)</f>
        <v>0</v>
      </c>
      <c r="AX12" s="89">
        <f t="shared" si="26"/>
        <v>0</v>
      </c>
      <c r="AZ12" s="95">
        <v>46181</v>
      </c>
      <c r="BA12" s="94"/>
      <c r="BB12" s="91"/>
      <c r="BC12" s="93"/>
      <c r="BD12" s="93"/>
      <c r="BE12" s="92"/>
      <c r="BF12" s="94">
        <f>SUM(BB12:BE12)</f>
        <v>0</v>
      </c>
      <c r="BG12" s="116">
        <f>IFERROR(BF12/BB12,0)</f>
        <v>0</v>
      </c>
      <c r="BH12" s="89">
        <f t="shared" si="29"/>
        <v>0</v>
      </c>
      <c r="BJ12" s="95">
        <v>46211</v>
      </c>
      <c r="BK12" s="94"/>
      <c r="BL12" s="91"/>
      <c r="BM12" s="93"/>
      <c r="BN12" s="93"/>
      <c r="BO12" s="92"/>
      <c r="BP12" s="94">
        <f>SUM(BL12:BO12)</f>
        <v>0</v>
      </c>
      <c r="BQ12" s="116">
        <f>IFERROR(BP12/BL12,0)</f>
        <v>0</v>
      </c>
      <c r="BR12" s="89">
        <f t="shared" si="32"/>
        <v>0</v>
      </c>
      <c r="BT12" s="95">
        <v>46242</v>
      </c>
      <c r="BU12" s="94"/>
      <c r="BV12" s="91"/>
      <c r="BW12" s="93"/>
      <c r="BX12" s="93"/>
      <c r="BY12" s="92"/>
      <c r="BZ12" s="94">
        <f>SUM(BV12:BY12)</f>
        <v>0</v>
      </c>
      <c r="CA12" s="116">
        <f>IFERROR(BZ12/BV12,0)</f>
        <v>0</v>
      </c>
      <c r="CB12" s="89">
        <f t="shared" si="35"/>
        <v>0</v>
      </c>
      <c r="CD12" s="95">
        <v>46273</v>
      </c>
      <c r="CE12" s="94"/>
      <c r="CF12" s="91"/>
      <c r="CG12" s="93"/>
      <c r="CH12" s="93"/>
      <c r="CI12" s="92"/>
      <c r="CJ12" s="94">
        <f>SUM(CF12:CI12)</f>
        <v>0</v>
      </c>
      <c r="CK12" s="116">
        <f>IFERROR(CJ12/CF12,0)</f>
        <v>0</v>
      </c>
      <c r="CL12" s="89">
        <f t="shared" si="38"/>
        <v>0</v>
      </c>
      <c r="CN12" s="95">
        <v>46303</v>
      </c>
      <c r="CO12" s="94"/>
      <c r="CP12" s="91"/>
      <c r="CQ12" s="93"/>
      <c r="CR12" s="93"/>
      <c r="CS12" s="92"/>
      <c r="CT12" s="94">
        <f>SUM(CP12:CS12)</f>
        <v>0</v>
      </c>
      <c r="CU12" s="116">
        <f>IFERROR(CT12/CP12,0)</f>
        <v>0</v>
      </c>
      <c r="CV12" s="89">
        <f t="shared" si="41"/>
        <v>0</v>
      </c>
      <c r="CX12" s="95">
        <v>46334</v>
      </c>
      <c r="CY12" s="94"/>
      <c r="CZ12" s="91"/>
      <c r="DA12" s="93"/>
      <c r="DB12" s="93"/>
      <c r="DC12" s="92"/>
      <c r="DD12" s="94">
        <f>SUM(CZ12:DC12)</f>
        <v>0</v>
      </c>
      <c r="DE12" s="116">
        <f>IFERROR(DD12/CZ12,0)</f>
        <v>0</v>
      </c>
      <c r="DF12" s="89">
        <f t="shared" si="44"/>
        <v>0</v>
      </c>
      <c r="DH12" s="95">
        <v>46364</v>
      </c>
      <c r="DI12" s="94"/>
      <c r="DJ12" s="91"/>
      <c r="DK12" s="93"/>
      <c r="DL12" s="93"/>
      <c r="DM12" s="92"/>
      <c r="DN12" s="94">
        <f>SUM(DJ12:DM12)</f>
        <v>0</v>
      </c>
      <c r="DO12" s="116">
        <f>IFERROR(DN12/DJ12,0)</f>
        <v>0</v>
      </c>
      <c r="DP12" s="89">
        <f t="shared" si="47"/>
        <v>0</v>
      </c>
    </row>
    <row r="13" spans="2:120">
      <c r="B13" s="95">
        <v>46031</v>
      </c>
      <c r="C13" s="94">
        <v>0</v>
      </c>
      <c r="D13" s="91">
        <v>0</v>
      </c>
      <c r="E13" s="93">
        <v>0</v>
      </c>
      <c r="F13" s="93">
        <v>0</v>
      </c>
      <c r="G13" s="92">
        <v>0</v>
      </c>
      <c r="H13" s="94">
        <f t="shared" si="12"/>
        <v>0</v>
      </c>
      <c r="I13" s="116">
        <f t="shared" si="13"/>
        <v>0</v>
      </c>
      <c r="J13" s="89">
        <f t="shared" si="14"/>
        <v>0</v>
      </c>
      <c r="K13" s="111"/>
      <c r="L13" s="95">
        <v>46062</v>
      </c>
      <c r="M13" s="94"/>
      <c r="N13" s="91"/>
      <c r="O13" s="93"/>
      <c r="P13" s="93"/>
      <c r="Q13" s="92"/>
      <c r="R13" s="91">
        <f t="shared" si="15"/>
        <v>0</v>
      </c>
      <c r="S13" s="90">
        <f t="shared" si="16"/>
        <v>0</v>
      </c>
      <c r="T13" s="89">
        <f t="shared" si="17"/>
        <v>0</v>
      </c>
      <c r="V13" s="95">
        <v>46090</v>
      </c>
      <c r="W13" s="94"/>
      <c r="X13" s="91"/>
      <c r="Y13" s="93"/>
      <c r="Z13" s="93"/>
      <c r="AA13" s="92"/>
      <c r="AB13" s="94">
        <f t="shared" si="18"/>
        <v>0</v>
      </c>
      <c r="AC13" s="116">
        <f t="shared" si="19"/>
        <v>0</v>
      </c>
      <c r="AD13" s="89">
        <f t="shared" si="20"/>
        <v>0</v>
      </c>
      <c r="AF13" s="95">
        <v>46121</v>
      </c>
      <c r="AG13" s="94"/>
      <c r="AH13" s="91"/>
      <c r="AI13" s="93"/>
      <c r="AJ13" s="93"/>
      <c r="AK13" s="92"/>
      <c r="AL13" s="94">
        <f t="shared" si="21"/>
        <v>0</v>
      </c>
      <c r="AM13" s="116">
        <f t="shared" si="22"/>
        <v>0</v>
      </c>
      <c r="AN13" s="89">
        <f t="shared" si="23"/>
        <v>0</v>
      </c>
      <c r="AP13" s="95">
        <v>46151</v>
      </c>
      <c r="AQ13" s="94"/>
      <c r="AR13" s="91"/>
      <c r="AS13" s="93"/>
      <c r="AT13" s="93"/>
      <c r="AU13" s="92"/>
      <c r="AV13" s="94">
        <f t="shared" si="24"/>
        <v>0</v>
      </c>
      <c r="AW13" s="116">
        <f t="shared" si="25"/>
        <v>0</v>
      </c>
      <c r="AX13" s="89">
        <f t="shared" si="26"/>
        <v>0</v>
      </c>
      <c r="AZ13" s="95">
        <v>46182</v>
      </c>
      <c r="BA13" s="94"/>
      <c r="BB13" s="91"/>
      <c r="BC13" s="93"/>
      <c r="BD13" s="93"/>
      <c r="BE13" s="92"/>
      <c r="BF13" s="94">
        <f t="shared" ref="BF13:BF34" si="48">SUM(BB13:BE13)</f>
        <v>0</v>
      </c>
      <c r="BG13" s="116">
        <f t="shared" ref="BG13:BG30" si="49">IFERROR(BF13/BB13,0)</f>
        <v>0</v>
      </c>
      <c r="BH13" s="89">
        <f t="shared" si="29"/>
        <v>0</v>
      </c>
      <c r="BJ13" s="95">
        <v>46212</v>
      </c>
      <c r="BK13" s="94"/>
      <c r="BL13" s="91"/>
      <c r="BM13" s="93"/>
      <c r="BN13" s="93"/>
      <c r="BO13" s="92"/>
      <c r="BP13" s="94">
        <f t="shared" ref="BP13:BP35" si="50">SUM(BL13:BO13)</f>
        <v>0</v>
      </c>
      <c r="BQ13" s="116">
        <f t="shared" ref="BQ13:BQ30" si="51">IFERROR(BP13/BL13,0)</f>
        <v>0</v>
      </c>
      <c r="BR13" s="89">
        <f t="shared" si="32"/>
        <v>0</v>
      </c>
      <c r="BT13" s="95">
        <v>46243</v>
      </c>
      <c r="BU13" s="94"/>
      <c r="BV13" s="91"/>
      <c r="BW13" s="93"/>
      <c r="BX13" s="93"/>
      <c r="BY13" s="92"/>
      <c r="BZ13" s="94">
        <f t="shared" ref="BZ13:BZ23" si="52">SUM(BV13:BY13)</f>
        <v>0</v>
      </c>
      <c r="CA13" s="116">
        <f t="shared" ref="CA13:CA30" si="53">IFERROR(BZ13/BV13,0)</f>
        <v>0</v>
      </c>
      <c r="CB13" s="89">
        <f t="shared" si="35"/>
        <v>0</v>
      </c>
      <c r="CD13" s="95">
        <v>46274</v>
      </c>
      <c r="CE13" s="94"/>
      <c r="CF13" s="91"/>
      <c r="CG13" s="93"/>
      <c r="CH13" s="93"/>
      <c r="CI13" s="92"/>
      <c r="CJ13" s="94">
        <f t="shared" ref="CJ13:CJ34" si="54">SUM(CF13:CI13)</f>
        <v>0</v>
      </c>
      <c r="CK13" s="116">
        <f t="shared" ref="CK13:CK22" si="55">IFERROR(CJ13/CF13,0)</f>
        <v>0</v>
      </c>
      <c r="CL13" s="89">
        <f t="shared" si="38"/>
        <v>0</v>
      </c>
      <c r="CN13" s="95">
        <v>46304</v>
      </c>
      <c r="CO13" s="94"/>
      <c r="CP13" s="91"/>
      <c r="CQ13" s="93"/>
      <c r="CR13" s="93"/>
      <c r="CS13" s="92"/>
      <c r="CT13" s="94">
        <f t="shared" ref="CT13:CT23" si="56">SUM(CP13:CS13)</f>
        <v>0</v>
      </c>
      <c r="CU13" s="116">
        <f t="shared" ref="CU13:CU30" si="57">IFERROR(CT13/CP13,0)</f>
        <v>0</v>
      </c>
      <c r="CV13" s="89">
        <f t="shared" si="41"/>
        <v>0</v>
      </c>
      <c r="CX13" s="95">
        <v>46335</v>
      </c>
      <c r="CY13" s="94"/>
      <c r="CZ13" s="91"/>
      <c r="DA13" s="93"/>
      <c r="DB13" s="93"/>
      <c r="DC13" s="92"/>
      <c r="DD13" s="94">
        <f t="shared" ref="DD13:DD34" si="58">SUM(CZ13:DC13)</f>
        <v>0</v>
      </c>
      <c r="DE13" s="116">
        <f t="shared" ref="DE13:DE22" si="59">IFERROR(DD13/CZ13,0)</f>
        <v>0</v>
      </c>
      <c r="DF13" s="89">
        <f t="shared" si="44"/>
        <v>0</v>
      </c>
      <c r="DH13" s="95">
        <v>46365</v>
      </c>
      <c r="DI13" s="94"/>
      <c r="DJ13" s="91"/>
      <c r="DK13" s="93"/>
      <c r="DL13" s="93"/>
      <c r="DM13" s="92"/>
      <c r="DN13" s="94">
        <f t="shared" ref="DN13:DN35" si="60">SUM(DJ13:DM13)</f>
        <v>0</v>
      </c>
      <c r="DO13" s="116">
        <f t="shared" ref="DO13:DO30" si="61">IFERROR(DN13/DJ13,0)</f>
        <v>0</v>
      </c>
      <c r="DP13" s="89">
        <f t="shared" si="47"/>
        <v>0</v>
      </c>
    </row>
    <row r="14" spans="2:120">
      <c r="B14" s="95">
        <v>46032</v>
      </c>
      <c r="C14" s="94">
        <v>0</v>
      </c>
      <c r="D14" s="91">
        <v>0</v>
      </c>
      <c r="E14" s="93">
        <v>0</v>
      </c>
      <c r="F14" s="93">
        <v>0</v>
      </c>
      <c r="G14" s="92">
        <v>0</v>
      </c>
      <c r="H14" s="94">
        <f t="shared" si="12"/>
        <v>0</v>
      </c>
      <c r="I14" s="116">
        <f t="shared" si="13"/>
        <v>0</v>
      </c>
      <c r="J14" s="89">
        <f t="shared" si="14"/>
        <v>0</v>
      </c>
      <c r="K14" s="111"/>
      <c r="L14" s="95">
        <v>46063</v>
      </c>
      <c r="M14" s="94"/>
      <c r="N14" s="91"/>
      <c r="O14" s="93"/>
      <c r="P14" s="93"/>
      <c r="Q14" s="92"/>
      <c r="R14" s="91">
        <f t="shared" si="15"/>
        <v>0</v>
      </c>
      <c r="S14" s="90">
        <f t="shared" si="16"/>
        <v>0</v>
      </c>
      <c r="T14" s="89">
        <f t="shared" si="17"/>
        <v>0</v>
      </c>
      <c r="V14" s="95">
        <v>46091</v>
      </c>
      <c r="W14" s="94"/>
      <c r="X14" s="91"/>
      <c r="Y14" s="93"/>
      <c r="Z14" s="93"/>
      <c r="AA14" s="92"/>
      <c r="AB14" s="94">
        <f t="shared" si="18"/>
        <v>0</v>
      </c>
      <c r="AC14" s="116">
        <f t="shared" si="19"/>
        <v>0</v>
      </c>
      <c r="AD14" s="89">
        <f t="shared" si="20"/>
        <v>0</v>
      </c>
      <c r="AF14" s="95">
        <v>46122</v>
      </c>
      <c r="AG14" s="94"/>
      <c r="AH14" s="91"/>
      <c r="AI14" s="93"/>
      <c r="AJ14" s="93"/>
      <c r="AK14" s="92"/>
      <c r="AL14" s="94">
        <f t="shared" si="21"/>
        <v>0</v>
      </c>
      <c r="AM14" s="116">
        <f t="shared" si="22"/>
        <v>0</v>
      </c>
      <c r="AN14" s="89">
        <f t="shared" si="23"/>
        <v>0</v>
      </c>
      <c r="AP14" s="95">
        <v>46152</v>
      </c>
      <c r="AQ14" s="94"/>
      <c r="AR14" s="91"/>
      <c r="AS14" s="93"/>
      <c r="AT14" s="93"/>
      <c r="AU14" s="92"/>
      <c r="AV14" s="94">
        <f t="shared" si="24"/>
        <v>0</v>
      </c>
      <c r="AW14" s="116">
        <f t="shared" si="25"/>
        <v>0</v>
      </c>
      <c r="AX14" s="89">
        <f t="shared" si="26"/>
        <v>0</v>
      </c>
      <c r="AZ14" s="95">
        <v>46183</v>
      </c>
      <c r="BA14" s="94"/>
      <c r="BB14" s="91"/>
      <c r="BC14" s="93"/>
      <c r="BD14" s="93"/>
      <c r="BE14" s="92"/>
      <c r="BF14" s="94">
        <f t="shared" si="48"/>
        <v>0</v>
      </c>
      <c r="BG14" s="116">
        <f t="shared" si="49"/>
        <v>0</v>
      </c>
      <c r="BH14" s="89">
        <f t="shared" si="29"/>
        <v>0</v>
      </c>
      <c r="BJ14" s="95">
        <v>46213</v>
      </c>
      <c r="BK14" s="94"/>
      <c r="BL14" s="91"/>
      <c r="BM14" s="93"/>
      <c r="BN14" s="93"/>
      <c r="BO14" s="92"/>
      <c r="BP14" s="94">
        <f t="shared" si="50"/>
        <v>0</v>
      </c>
      <c r="BQ14" s="116">
        <f t="shared" si="51"/>
        <v>0</v>
      </c>
      <c r="BR14" s="89">
        <f t="shared" si="32"/>
        <v>0</v>
      </c>
      <c r="BT14" s="95">
        <v>46244</v>
      </c>
      <c r="BU14" s="94"/>
      <c r="BV14" s="91"/>
      <c r="BW14" s="93"/>
      <c r="BX14" s="93"/>
      <c r="BY14" s="92"/>
      <c r="BZ14" s="94">
        <f t="shared" si="52"/>
        <v>0</v>
      </c>
      <c r="CA14" s="116">
        <f t="shared" si="53"/>
        <v>0</v>
      </c>
      <c r="CB14" s="89">
        <f t="shared" si="35"/>
        <v>0</v>
      </c>
      <c r="CD14" s="95">
        <v>46275</v>
      </c>
      <c r="CE14" s="94"/>
      <c r="CF14" s="91"/>
      <c r="CG14" s="93"/>
      <c r="CH14" s="93"/>
      <c r="CI14" s="92"/>
      <c r="CJ14" s="94">
        <f t="shared" si="54"/>
        <v>0</v>
      </c>
      <c r="CK14" s="116">
        <f t="shared" si="55"/>
        <v>0</v>
      </c>
      <c r="CL14" s="89">
        <f t="shared" si="38"/>
        <v>0</v>
      </c>
      <c r="CN14" s="95">
        <v>46305</v>
      </c>
      <c r="CO14" s="94"/>
      <c r="CP14" s="91"/>
      <c r="CQ14" s="93"/>
      <c r="CR14" s="93"/>
      <c r="CS14" s="92"/>
      <c r="CT14" s="94">
        <f t="shared" si="56"/>
        <v>0</v>
      </c>
      <c r="CU14" s="116">
        <f t="shared" si="57"/>
        <v>0</v>
      </c>
      <c r="CV14" s="89">
        <f t="shared" si="41"/>
        <v>0</v>
      </c>
      <c r="CX14" s="95">
        <v>46336</v>
      </c>
      <c r="CY14" s="94"/>
      <c r="CZ14" s="91"/>
      <c r="DA14" s="93"/>
      <c r="DB14" s="93"/>
      <c r="DC14" s="92"/>
      <c r="DD14" s="94">
        <f t="shared" si="58"/>
        <v>0</v>
      </c>
      <c r="DE14" s="116">
        <f t="shared" si="59"/>
        <v>0</v>
      </c>
      <c r="DF14" s="89">
        <f t="shared" si="44"/>
        <v>0</v>
      </c>
      <c r="DH14" s="95">
        <v>46366</v>
      </c>
      <c r="DI14" s="94"/>
      <c r="DJ14" s="91"/>
      <c r="DK14" s="93"/>
      <c r="DL14" s="93"/>
      <c r="DM14" s="92"/>
      <c r="DN14" s="94">
        <f t="shared" si="60"/>
        <v>0</v>
      </c>
      <c r="DO14" s="116">
        <f t="shared" si="61"/>
        <v>0</v>
      </c>
      <c r="DP14" s="89">
        <f t="shared" si="47"/>
        <v>0</v>
      </c>
    </row>
    <row r="15" spans="2:120">
      <c r="B15" s="95">
        <v>46033</v>
      </c>
      <c r="C15" s="94">
        <v>0</v>
      </c>
      <c r="D15" s="91">
        <v>0</v>
      </c>
      <c r="E15" s="93">
        <v>0</v>
      </c>
      <c r="F15" s="93">
        <v>0</v>
      </c>
      <c r="G15" s="92">
        <v>0</v>
      </c>
      <c r="H15" s="94">
        <f t="shared" si="12"/>
        <v>0</v>
      </c>
      <c r="I15" s="116">
        <f t="shared" si="13"/>
        <v>0</v>
      </c>
      <c r="J15" s="89">
        <f t="shared" si="14"/>
        <v>0</v>
      </c>
      <c r="K15" s="111"/>
      <c r="L15" s="95">
        <v>46064</v>
      </c>
      <c r="M15" s="94"/>
      <c r="N15" s="91"/>
      <c r="O15" s="93"/>
      <c r="P15" s="93"/>
      <c r="Q15" s="92"/>
      <c r="R15" s="91">
        <f t="shared" si="15"/>
        <v>0</v>
      </c>
      <c r="S15" s="90">
        <f t="shared" si="16"/>
        <v>0</v>
      </c>
      <c r="T15" s="89">
        <f t="shared" si="17"/>
        <v>0</v>
      </c>
      <c r="V15" s="95">
        <v>46092</v>
      </c>
      <c r="W15" s="94"/>
      <c r="X15" s="91"/>
      <c r="Y15" s="93"/>
      <c r="Z15" s="93"/>
      <c r="AA15" s="92"/>
      <c r="AB15" s="94">
        <f t="shared" si="18"/>
        <v>0</v>
      </c>
      <c r="AC15" s="116">
        <f t="shared" si="19"/>
        <v>0</v>
      </c>
      <c r="AD15" s="89">
        <f t="shared" si="20"/>
        <v>0</v>
      </c>
      <c r="AF15" s="95">
        <v>46123</v>
      </c>
      <c r="AG15" s="94"/>
      <c r="AH15" s="91"/>
      <c r="AI15" s="93"/>
      <c r="AJ15" s="93"/>
      <c r="AK15" s="92"/>
      <c r="AL15" s="94">
        <f t="shared" si="21"/>
        <v>0</v>
      </c>
      <c r="AM15" s="116">
        <f t="shared" si="22"/>
        <v>0</v>
      </c>
      <c r="AN15" s="89">
        <f t="shared" si="23"/>
        <v>0</v>
      </c>
      <c r="AP15" s="95">
        <v>46153</v>
      </c>
      <c r="AQ15" s="94"/>
      <c r="AR15" s="91"/>
      <c r="AS15" s="93"/>
      <c r="AT15" s="93"/>
      <c r="AU15" s="92"/>
      <c r="AV15" s="94">
        <f t="shared" si="24"/>
        <v>0</v>
      </c>
      <c r="AW15" s="116">
        <f t="shared" si="25"/>
        <v>0</v>
      </c>
      <c r="AX15" s="89">
        <f t="shared" si="26"/>
        <v>0</v>
      </c>
      <c r="AZ15" s="95">
        <v>46184</v>
      </c>
      <c r="BA15" s="94"/>
      <c r="BB15" s="91"/>
      <c r="BC15" s="93"/>
      <c r="BD15" s="93"/>
      <c r="BE15" s="92"/>
      <c r="BF15" s="94">
        <f t="shared" si="48"/>
        <v>0</v>
      </c>
      <c r="BG15" s="116">
        <f t="shared" si="49"/>
        <v>0</v>
      </c>
      <c r="BH15" s="89">
        <f t="shared" si="29"/>
        <v>0</v>
      </c>
      <c r="BJ15" s="95">
        <v>46214</v>
      </c>
      <c r="BK15" s="94"/>
      <c r="BL15" s="91"/>
      <c r="BM15" s="93"/>
      <c r="BN15" s="93"/>
      <c r="BO15" s="92"/>
      <c r="BP15" s="94">
        <f t="shared" si="50"/>
        <v>0</v>
      </c>
      <c r="BQ15" s="116">
        <f t="shared" si="51"/>
        <v>0</v>
      </c>
      <c r="BR15" s="89">
        <f t="shared" si="32"/>
        <v>0</v>
      </c>
      <c r="BT15" s="95">
        <v>46245</v>
      </c>
      <c r="BU15" s="94"/>
      <c r="BV15" s="91"/>
      <c r="BW15" s="93"/>
      <c r="BX15" s="93"/>
      <c r="BY15" s="92"/>
      <c r="BZ15" s="94">
        <f t="shared" si="52"/>
        <v>0</v>
      </c>
      <c r="CA15" s="116">
        <f t="shared" si="53"/>
        <v>0</v>
      </c>
      <c r="CB15" s="89">
        <f t="shared" si="35"/>
        <v>0</v>
      </c>
      <c r="CD15" s="95">
        <v>46276</v>
      </c>
      <c r="CE15" s="94"/>
      <c r="CF15" s="91"/>
      <c r="CG15" s="93"/>
      <c r="CH15" s="93"/>
      <c r="CI15" s="92"/>
      <c r="CJ15" s="94">
        <f t="shared" si="54"/>
        <v>0</v>
      </c>
      <c r="CK15" s="116">
        <f t="shared" si="55"/>
        <v>0</v>
      </c>
      <c r="CL15" s="89">
        <f t="shared" si="38"/>
        <v>0</v>
      </c>
      <c r="CN15" s="95">
        <v>46306</v>
      </c>
      <c r="CO15" s="94"/>
      <c r="CP15" s="91"/>
      <c r="CQ15" s="93"/>
      <c r="CR15" s="93"/>
      <c r="CS15" s="92"/>
      <c r="CT15" s="94">
        <f t="shared" si="56"/>
        <v>0</v>
      </c>
      <c r="CU15" s="116">
        <f t="shared" si="57"/>
        <v>0</v>
      </c>
      <c r="CV15" s="89">
        <f t="shared" si="41"/>
        <v>0</v>
      </c>
      <c r="CX15" s="95">
        <v>46337</v>
      </c>
      <c r="CY15" s="94"/>
      <c r="CZ15" s="91"/>
      <c r="DA15" s="93"/>
      <c r="DB15" s="93"/>
      <c r="DC15" s="92"/>
      <c r="DD15" s="94">
        <f t="shared" si="58"/>
        <v>0</v>
      </c>
      <c r="DE15" s="116">
        <f t="shared" si="59"/>
        <v>0</v>
      </c>
      <c r="DF15" s="89">
        <f t="shared" si="44"/>
        <v>0</v>
      </c>
      <c r="DH15" s="95">
        <v>46367</v>
      </c>
      <c r="DI15" s="94"/>
      <c r="DJ15" s="91"/>
      <c r="DK15" s="93"/>
      <c r="DL15" s="93"/>
      <c r="DM15" s="92"/>
      <c r="DN15" s="94">
        <f t="shared" si="60"/>
        <v>0</v>
      </c>
      <c r="DO15" s="116">
        <f t="shared" si="61"/>
        <v>0</v>
      </c>
      <c r="DP15" s="89">
        <f t="shared" si="47"/>
        <v>0</v>
      </c>
    </row>
    <row r="16" spans="2:120">
      <c r="B16" s="95">
        <v>46034</v>
      </c>
      <c r="C16" s="94">
        <v>20</v>
      </c>
      <c r="D16" s="91">
        <v>13832</v>
      </c>
      <c r="E16" s="93">
        <v>1491</v>
      </c>
      <c r="F16" s="93">
        <v>507</v>
      </c>
      <c r="G16" s="92">
        <v>3927</v>
      </c>
      <c r="H16" s="94">
        <f t="shared" si="12"/>
        <v>19757</v>
      </c>
      <c r="I16" s="116">
        <f t="shared" si="13"/>
        <v>1.4283545401966455</v>
      </c>
      <c r="J16" s="89">
        <f t="shared" si="14"/>
        <v>987.85</v>
      </c>
      <c r="K16" s="111"/>
      <c r="L16" s="95">
        <v>46065</v>
      </c>
      <c r="M16" s="94"/>
      <c r="N16" s="91"/>
      <c r="O16" s="93"/>
      <c r="P16" s="93"/>
      <c r="Q16" s="92"/>
      <c r="R16" s="91">
        <f t="shared" si="15"/>
        <v>0</v>
      </c>
      <c r="S16" s="90">
        <f t="shared" si="16"/>
        <v>0</v>
      </c>
      <c r="T16" s="89">
        <f t="shared" si="17"/>
        <v>0</v>
      </c>
      <c r="V16" s="95">
        <v>46093</v>
      </c>
      <c r="W16" s="94"/>
      <c r="X16" s="91"/>
      <c r="Y16" s="93"/>
      <c r="Z16" s="93"/>
      <c r="AA16" s="92"/>
      <c r="AB16" s="94">
        <f t="shared" si="18"/>
        <v>0</v>
      </c>
      <c r="AC16" s="116">
        <f t="shared" si="19"/>
        <v>0</v>
      </c>
      <c r="AD16" s="89">
        <f t="shared" si="20"/>
        <v>0</v>
      </c>
      <c r="AF16" s="95">
        <v>46124</v>
      </c>
      <c r="AG16" s="94"/>
      <c r="AH16" s="91"/>
      <c r="AI16" s="93"/>
      <c r="AJ16" s="93"/>
      <c r="AK16" s="92"/>
      <c r="AL16" s="94">
        <f t="shared" si="21"/>
        <v>0</v>
      </c>
      <c r="AM16" s="116">
        <f t="shared" si="22"/>
        <v>0</v>
      </c>
      <c r="AN16" s="89">
        <f t="shared" si="23"/>
        <v>0</v>
      </c>
      <c r="AP16" s="95">
        <v>46154</v>
      </c>
      <c r="AQ16" s="94"/>
      <c r="AR16" s="91"/>
      <c r="AS16" s="93"/>
      <c r="AT16" s="93"/>
      <c r="AU16" s="92"/>
      <c r="AV16" s="94">
        <f t="shared" si="24"/>
        <v>0</v>
      </c>
      <c r="AW16" s="116">
        <f t="shared" si="25"/>
        <v>0</v>
      </c>
      <c r="AX16" s="89">
        <f t="shared" si="26"/>
        <v>0</v>
      </c>
      <c r="AZ16" s="95">
        <v>46185</v>
      </c>
      <c r="BA16" s="94"/>
      <c r="BB16" s="91"/>
      <c r="BC16" s="93"/>
      <c r="BD16" s="93"/>
      <c r="BE16" s="92"/>
      <c r="BF16" s="94">
        <f t="shared" si="48"/>
        <v>0</v>
      </c>
      <c r="BG16" s="116">
        <f t="shared" si="49"/>
        <v>0</v>
      </c>
      <c r="BH16" s="89">
        <f t="shared" si="29"/>
        <v>0</v>
      </c>
      <c r="BJ16" s="95">
        <v>46215</v>
      </c>
      <c r="BK16" s="94"/>
      <c r="BL16" s="91"/>
      <c r="BM16" s="93"/>
      <c r="BN16" s="93"/>
      <c r="BO16" s="92"/>
      <c r="BP16" s="94">
        <f t="shared" si="50"/>
        <v>0</v>
      </c>
      <c r="BQ16" s="116">
        <f t="shared" si="51"/>
        <v>0</v>
      </c>
      <c r="BR16" s="89">
        <f t="shared" si="32"/>
        <v>0</v>
      </c>
      <c r="BT16" s="95">
        <v>46246</v>
      </c>
      <c r="BU16" s="94"/>
      <c r="BV16" s="91"/>
      <c r="BW16" s="93"/>
      <c r="BX16" s="93"/>
      <c r="BY16" s="92"/>
      <c r="BZ16" s="94">
        <f t="shared" si="52"/>
        <v>0</v>
      </c>
      <c r="CA16" s="116">
        <f t="shared" si="53"/>
        <v>0</v>
      </c>
      <c r="CB16" s="89">
        <f t="shared" si="35"/>
        <v>0</v>
      </c>
      <c r="CD16" s="95">
        <v>46277</v>
      </c>
      <c r="CE16" s="94"/>
      <c r="CF16" s="91"/>
      <c r="CG16" s="93"/>
      <c r="CH16" s="93"/>
      <c r="CI16" s="92"/>
      <c r="CJ16" s="94">
        <f t="shared" si="54"/>
        <v>0</v>
      </c>
      <c r="CK16" s="116">
        <f t="shared" si="55"/>
        <v>0</v>
      </c>
      <c r="CL16" s="89">
        <f t="shared" si="38"/>
        <v>0</v>
      </c>
      <c r="CN16" s="95">
        <v>46307</v>
      </c>
      <c r="CO16" s="94"/>
      <c r="CP16" s="91"/>
      <c r="CQ16" s="93"/>
      <c r="CR16" s="93"/>
      <c r="CS16" s="92"/>
      <c r="CT16" s="94">
        <f t="shared" si="56"/>
        <v>0</v>
      </c>
      <c r="CU16" s="116">
        <f t="shared" si="57"/>
        <v>0</v>
      </c>
      <c r="CV16" s="89">
        <f t="shared" si="41"/>
        <v>0</v>
      </c>
      <c r="CX16" s="95">
        <v>46338</v>
      </c>
      <c r="CY16" s="94"/>
      <c r="CZ16" s="91"/>
      <c r="DA16" s="93"/>
      <c r="DB16" s="93"/>
      <c r="DC16" s="92"/>
      <c r="DD16" s="94">
        <f t="shared" si="58"/>
        <v>0</v>
      </c>
      <c r="DE16" s="116">
        <f t="shared" si="59"/>
        <v>0</v>
      </c>
      <c r="DF16" s="89">
        <f t="shared" si="44"/>
        <v>0</v>
      </c>
      <c r="DH16" s="95">
        <v>46368</v>
      </c>
      <c r="DI16" s="94"/>
      <c r="DJ16" s="91"/>
      <c r="DK16" s="93"/>
      <c r="DL16" s="93"/>
      <c r="DM16" s="92"/>
      <c r="DN16" s="94">
        <f t="shared" si="60"/>
        <v>0</v>
      </c>
      <c r="DO16" s="116">
        <f t="shared" si="61"/>
        <v>0</v>
      </c>
      <c r="DP16" s="89">
        <f t="shared" si="47"/>
        <v>0</v>
      </c>
    </row>
    <row r="17" spans="1:120">
      <c r="A17" s="96"/>
      <c r="B17" s="95">
        <v>46035</v>
      </c>
      <c r="C17" s="94">
        <v>20</v>
      </c>
      <c r="D17" s="91">
        <v>13835</v>
      </c>
      <c r="E17" s="93">
        <v>1459</v>
      </c>
      <c r="F17" s="93">
        <v>517</v>
      </c>
      <c r="G17" s="92">
        <v>4706</v>
      </c>
      <c r="H17" s="94">
        <f t="shared" si="12"/>
        <v>20517</v>
      </c>
      <c r="I17" s="116">
        <f t="shared" si="13"/>
        <v>1.4829779544633177</v>
      </c>
      <c r="J17" s="89">
        <f t="shared" si="14"/>
        <v>1025.8499999999999</v>
      </c>
      <c r="K17" s="111"/>
      <c r="L17" s="95">
        <v>46066</v>
      </c>
      <c r="M17" s="94"/>
      <c r="N17" s="91"/>
      <c r="O17" s="93"/>
      <c r="P17" s="93"/>
      <c r="Q17" s="92"/>
      <c r="R17" s="91">
        <f t="shared" si="15"/>
        <v>0</v>
      </c>
      <c r="S17" s="90">
        <f t="shared" si="16"/>
        <v>0</v>
      </c>
      <c r="T17" s="89">
        <f t="shared" si="17"/>
        <v>0</v>
      </c>
      <c r="V17" s="95">
        <v>46094</v>
      </c>
      <c r="W17" s="94"/>
      <c r="X17" s="91"/>
      <c r="Y17" s="93"/>
      <c r="Z17" s="93"/>
      <c r="AA17" s="92"/>
      <c r="AB17" s="94">
        <f t="shared" si="18"/>
        <v>0</v>
      </c>
      <c r="AC17" s="116">
        <f t="shared" si="19"/>
        <v>0</v>
      </c>
      <c r="AD17" s="89">
        <f t="shared" si="20"/>
        <v>0</v>
      </c>
      <c r="AF17" s="95">
        <v>46125</v>
      </c>
      <c r="AG17" s="94"/>
      <c r="AH17" s="91"/>
      <c r="AI17" s="93"/>
      <c r="AJ17" s="93"/>
      <c r="AK17" s="92"/>
      <c r="AL17" s="94">
        <f t="shared" si="21"/>
        <v>0</v>
      </c>
      <c r="AM17" s="116">
        <f t="shared" si="22"/>
        <v>0</v>
      </c>
      <c r="AN17" s="89">
        <f t="shared" si="23"/>
        <v>0</v>
      </c>
      <c r="AP17" s="95">
        <v>46155</v>
      </c>
      <c r="AQ17" s="94"/>
      <c r="AR17" s="91"/>
      <c r="AS17" s="93"/>
      <c r="AT17" s="93"/>
      <c r="AU17" s="92"/>
      <c r="AV17" s="94">
        <f t="shared" si="24"/>
        <v>0</v>
      </c>
      <c r="AW17" s="116">
        <f t="shared" si="25"/>
        <v>0</v>
      </c>
      <c r="AX17" s="89">
        <f t="shared" si="26"/>
        <v>0</v>
      </c>
      <c r="AZ17" s="95">
        <v>46186</v>
      </c>
      <c r="BA17" s="94"/>
      <c r="BB17" s="91"/>
      <c r="BC17" s="93"/>
      <c r="BD17" s="93"/>
      <c r="BE17" s="92"/>
      <c r="BF17" s="94">
        <f t="shared" si="48"/>
        <v>0</v>
      </c>
      <c r="BG17" s="116">
        <f t="shared" si="49"/>
        <v>0</v>
      </c>
      <c r="BH17" s="89">
        <f t="shared" si="29"/>
        <v>0</v>
      </c>
      <c r="BJ17" s="95">
        <v>46216</v>
      </c>
      <c r="BK17" s="94"/>
      <c r="BL17" s="91"/>
      <c r="BM17" s="93"/>
      <c r="BN17" s="93"/>
      <c r="BO17" s="92"/>
      <c r="BP17" s="94">
        <f t="shared" si="50"/>
        <v>0</v>
      </c>
      <c r="BQ17" s="116">
        <f t="shared" si="51"/>
        <v>0</v>
      </c>
      <c r="BR17" s="89">
        <f t="shared" si="32"/>
        <v>0</v>
      </c>
      <c r="BT17" s="95">
        <v>46247</v>
      </c>
      <c r="BU17" s="94"/>
      <c r="BV17" s="91"/>
      <c r="BW17" s="93"/>
      <c r="BX17" s="93"/>
      <c r="BY17" s="92"/>
      <c r="BZ17" s="94">
        <f t="shared" si="52"/>
        <v>0</v>
      </c>
      <c r="CA17" s="116">
        <f t="shared" si="53"/>
        <v>0</v>
      </c>
      <c r="CB17" s="89">
        <f t="shared" si="35"/>
        <v>0</v>
      </c>
      <c r="CD17" s="95">
        <v>46278</v>
      </c>
      <c r="CE17" s="94"/>
      <c r="CF17" s="91"/>
      <c r="CG17" s="93"/>
      <c r="CH17" s="93"/>
      <c r="CI17" s="92"/>
      <c r="CJ17" s="94">
        <f t="shared" si="54"/>
        <v>0</v>
      </c>
      <c r="CK17" s="116">
        <f t="shared" si="55"/>
        <v>0</v>
      </c>
      <c r="CL17" s="89">
        <f t="shared" si="38"/>
        <v>0</v>
      </c>
      <c r="CN17" s="95">
        <v>46308</v>
      </c>
      <c r="CO17" s="94"/>
      <c r="CP17" s="91"/>
      <c r="CQ17" s="93"/>
      <c r="CR17" s="93"/>
      <c r="CS17" s="92"/>
      <c r="CT17" s="94">
        <f t="shared" si="56"/>
        <v>0</v>
      </c>
      <c r="CU17" s="116">
        <f t="shared" si="57"/>
        <v>0</v>
      </c>
      <c r="CV17" s="89">
        <f t="shared" si="41"/>
        <v>0</v>
      </c>
      <c r="CX17" s="95">
        <v>46339</v>
      </c>
      <c r="CY17" s="94"/>
      <c r="CZ17" s="91"/>
      <c r="DA17" s="93"/>
      <c r="DB17" s="93"/>
      <c r="DC17" s="92"/>
      <c r="DD17" s="94">
        <f t="shared" si="58"/>
        <v>0</v>
      </c>
      <c r="DE17" s="116">
        <f t="shared" si="59"/>
        <v>0</v>
      </c>
      <c r="DF17" s="89">
        <f t="shared" si="44"/>
        <v>0</v>
      </c>
      <c r="DH17" s="95">
        <v>46369</v>
      </c>
      <c r="DI17" s="94"/>
      <c r="DJ17" s="91"/>
      <c r="DK17" s="93"/>
      <c r="DL17" s="93"/>
      <c r="DM17" s="92"/>
      <c r="DN17" s="94">
        <f t="shared" si="60"/>
        <v>0</v>
      </c>
      <c r="DO17" s="116">
        <f t="shared" si="61"/>
        <v>0</v>
      </c>
      <c r="DP17" s="89">
        <f t="shared" si="47"/>
        <v>0</v>
      </c>
    </row>
    <row r="18" spans="1:120">
      <c r="A18" s="96"/>
      <c r="B18" s="95">
        <v>46036</v>
      </c>
      <c r="C18" s="94">
        <v>20</v>
      </c>
      <c r="D18" s="91">
        <v>13750</v>
      </c>
      <c r="E18" s="93">
        <v>1489</v>
      </c>
      <c r="F18" s="93">
        <v>523</v>
      </c>
      <c r="G18" s="92">
        <v>4624</v>
      </c>
      <c r="H18" s="94">
        <f t="shared" si="12"/>
        <v>20386</v>
      </c>
      <c r="I18" s="116">
        <f t="shared" si="13"/>
        <v>1.4826181818181818</v>
      </c>
      <c r="J18" s="89">
        <f t="shared" si="14"/>
        <v>1019.3</v>
      </c>
      <c r="K18" s="111"/>
      <c r="L18" s="95">
        <v>46067</v>
      </c>
      <c r="M18" s="94"/>
      <c r="N18" s="91"/>
      <c r="O18" s="93"/>
      <c r="P18" s="93"/>
      <c r="Q18" s="92"/>
      <c r="R18" s="91">
        <f t="shared" si="15"/>
        <v>0</v>
      </c>
      <c r="S18" s="90">
        <f t="shared" si="16"/>
        <v>0</v>
      </c>
      <c r="T18" s="89">
        <f t="shared" si="17"/>
        <v>0</v>
      </c>
      <c r="V18" s="95">
        <v>46095</v>
      </c>
      <c r="W18" s="94"/>
      <c r="X18" s="91"/>
      <c r="Y18" s="93"/>
      <c r="Z18" s="93"/>
      <c r="AA18" s="92"/>
      <c r="AB18" s="94">
        <f t="shared" si="18"/>
        <v>0</v>
      </c>
      <c r="AC18" s="116">
        <f t="shared" si="19"/>
        <v>0</v>
      </c>
      <c r="AD18" s="89">
        <f t="shared" si="20"/>
        <v>0</v>
      </c>
      <c r="AF18" s="95">
        <v>46126</v>
      </c>
      <c r="AG18" s="94"/>
      <c r="AH18" s="91"/>
      <c r="AI18" s="93"/>
      <c r="AJ18" s="93"/>
      <c r="AK18" s="92"/>
      <c r="AL18" s="94">
        <f t="shared" si="21"/>
        <v>0</v>
      </c>
      <c r="AM18" s="116">
        <f t="shared" si="22"/>
        <v>0</v>
      </c>
      <c r="AN18" s="89">
        <f t="shared" si="23"/>
        <v>0</v>
      </c>
      <c r="AP18" s="95">
        <v>46156</v>
      </c>
      <c r="AQ18" s="94"/>
      <c r="AR18" s="91"/>
      <c r="AS18" s="93"/>
      <c r="AT18" s="93"/>
      <c r="AU18" s="92"/>
      <c r="AV18" s="94">
        <f t="shared" si="24"/>
        <v>0</v>
      </c>
      <c r="AW18" s="116">
        <f t="shared" si="25"/>
        <v>0</v>
      </c>
      <c r="AX18" s="89">
        <f t="shared" si="26"/>
        <v>0</v>
      </c>
      <c r="AZ18" s="95">
        <v>46187</v>
      </c>
      <c r="BA18" s="94"/>
      <c r="BB18" s="91"/>
      <c r="BC18" s="93"/>
      <c r="BD18" s="93"/>
      <c r="BE18" s="92"/>
      <c r="BF18" s="94">
        <f t="shared" si="48"/>
        <v>0</v>
      </c>
      <c r="BG18" s="116">
        <f t="shared" si="49"/>
        <v>0</v>
      </c>
      <c r="BH18" s="89">
        <f t="shared" si="29"/>
        <v>0</v>
      </c>
      <c r="BJ18" s="95">
        <v>46217</v>
      </c>
      <c r="BK18" s="94"/>
      <c r="BL18" s="91"/>
      <c r="BM18" s="93"/>
      <c r="BN18" s="93"/>
      <c r="BO18" s="92"/>
      <c r="BP18" s="94">
        <f t="shared" si="50"/>
        <v>0</v>
      </c>
      <c r="BQ18" s="116">
        <f t="shared" si="51"/>
        <v>0</v>
      </c>
      <c r="BR18" s="89">
        <f t="shared" si="32"/>
        <v>0</v>
      </c>
      <c r="BT18" s="95">
        <v>46248</v>
      </c>
      <c r="BU18" s="94"/>
      <c r="BV18" s="91"/>
      <c r="BW18" s="93"/>
      <c r="BX18" s="93"/>
      <c r="BY18" s="92"/>
      <c r="BZ18" s="94">
        <f t="shared" si="52"/>
        <v>0</v>
      </c>
      <c r="CA18" s="116">
        <f t="shared" si="53"/>
        <v>0</v>
      </c>
      <c r="CB18" s="89">
        <f t="shared" si="35"/>
        <v>0</v>
      </c>
      <c r="CD18" s="95">
        <v>46279</v>
      </c>
      <c r="CE18" s="94"/>
      <c r="CF18" s="91"/>
      <c r="CG18" s="93"/>
      <c r="CH18" s="93"/>
      <c r="CI18" s="92"/>
      <c r="CJ18" s="94">
        <f t="shared" si="54"/>
        <v>0</v>
      </c>
      <c r="CK18" s="116">
        <f t="shared" si="55"/>
        <v>0</v>
      </c>
      <c r="CL18" s="89">
        <f t="shared" si="38"/>
        <v>0</v>
      </c>
      <c r="CN18" s="95">
        <v>46309</v>
      </c>
      <c r="CO18" s="94"/>
      <c r="CP18" s="91"/>
      <c r="CQ18" s="93"/>
      <c r="CR18" s="93"/>
      <c r="CS18" s="92"/>
      <c r="CT18" s="94">
        <f t="shared" si="56"/>
        <v>0</v>
      </c>
      <c r="CU18" s="116">
        <f t="shared" si="57"/>
        <v>0</v>
      </c>
      <c r="CV18" s="89">
        <f t="shared" si="41"/>
        <v>0</v>
      </c>
      <c r="CX18" s="95">
        <v>46340</v>
      </c>
      <c r="CY18" s="94"/>
      <c r="CZ18" s="91"/>
      <c r="DA18" s="93"/>
      <c r="DB18" s="93"/>
      <c r="DC18" s="92"/>
      <c r="DD18" s="94">
        <f t="shared" si="58"/>
        <v>0</v>
      </c>
      <c r="DE18" s="116">
        <f t="shared" si="59"/>
        <v>0</v>
      </c>
      <c r="DF18" s="89">
        <f t="shared" si="44"/>
        <v>0</v>
      </c>
      <c r="DH18" s="95">
        <v>46370</v>
      </c>
      <c r="DI18" s="94"/>
      <c r="DJ18" s="91"/>
      <c r="DK18" s="93"/>
      <c r="DL18" s="93"/>
      <c r="DM18" s="92"/>
      <c r="DN18" s="94">
        <f t="shared" si="60"/>
        <v>0</v>
      </c>
      <c r="DO18" s="116">
        <f t="shared" si="61"/>
        <v>0</v>
      </c>
      <c r="DP18" s="89">
        <f t="shared" si="47"/>
        <v>0</v>
      </c>
    </row>
    <row r="19" spans="1:120">
      <c r="A19" s="96"/>
      <c r="B19" s="95">
        <v>46037</v>
      </c>
      <c r="C19" s="94">
        <v>15</v>
      </c>
      <c r="D19" s="91">
        <v>10282</v>
      </c>
      <c r="E19" s="93">
        <v>1130</v>
      </c>
      <c r="F19" s="93">
        <v>391</v>
      </c>
      <c r="G19" s="92">
        <v>3339</v>
      </c>
      <c r="H19" s="94">
        <f t="shared" si="12"/>
        <v>15142</v>
      </c>
      <c r="I19" s="116">
        <f t="shared" si="13"/>
        <v>1.4726706866368411</v>
      </c>
      <c r="J19" s="89">
        <f t="shared" si="14"/>
        <v>1009.4666666666667</v>
      </c>
      <c r="K19" s="111"/>
      <c r="L19" s="95">
        <v>46068</v>
      </c>
      <c r="M19" s="94"/>
      <c r="N19" s="91"/>
      <c r="O19" s="93"/>
      <c r="P19" s="93"/>
      <c r="Q19" s="92"/>
      <c r="R19" s="91">
        <f t="shared" si="15"/>
        <v>0</v>
      </c>
      <c r="S19" s="90">
        <f t="shared" si="16"/>
        <v>0</v>
      </c>
      <c r="T19" s="89">
        <f t="shared" si="17"/>
        <v>0</v>
      </c>
      <c r="V19" s="95">
        <v>46096</v>
      </c>
      <c r="W19" s="94"/>
      <c r="X19" s="91"/>
      <c r="Y19" s="93"/>
      <c r="Z19" s="93"/>
      <c r="AA19" s="92"/>
      <c r="AB19" s="94">
        <f t="shared" si="18"/>
        <v>0</v>
      </c>
      <c r="AC19" s="116">
        <f t="shared" si="19"/>
        <v>0</v>
      </c>
      <c r="AD19" s="89">
        <f t="shared" si="20"/>
        <v>0</v>
      </c>
      <c r="AF19" s="95">
        <v>46127</v>
      </c>
      <c r="AG19" s="94"/>
      <c r="AH19" s="91"/>
      <c r="AI19" s="93"/>
      <c r="AJ19" s="93"/>
      <c r="AK19" s="92"/>
      <c r="AL19" s="94">
        <f t="shared" si="21"/>
        <v>0</v>
      </c>
      <c r="AM19" s="116">
        <f t="shared" si="22"/>
        <v>0</v>
      </c>
      <c r="AN19" s="89">
        <f t="shared" si="23"/>
        <v>0</v>
      </c>
      <c r="AP19" s="95">
        <v>46157</v>
      </c>
      <c r="AQ19" s="94"/>
      <c r="AR19" s="91"/>
      <c r="AS19" s="93"/>
      <c r="AT19" s="93"/>
      <c r="AU19" s="92"/>
      <c r="AV19" s="94">
        <f t="shared" si="24"/>
        <v>0</v>
      </c>
      <c r="AW19" s="116">
        <f t="shared" si="25"/>
        <v>0</v>
      </c>
      <c r="AX19" s="89">
        <f t="shared" si="26"/>
        <v>0</v>
      </c>
      <c r="AZ19" s="95">
        <v>46188</v>
      </c>
      <c r="BA19" s="94"/>
      <c r="BB19" s="91"/>
      <c r="BC19" s="93"/>
      <c r="BD19" s="93"/>
      <c r="BE19" s="92"/>
      <c r="BF19" s="94">
        <f t="shared" ref="BF19" si="62">SUM(BB19:BE19)</f>
        <v>0</v>
      </c>
      <c r="BG19" s="116">
        <f t="shared" si="49"/>
        <v>0</v>
      </c>
      <c r="BH19" s="89">
        <f t="shared" si="29"/>
        <v>0</v>
      </c>
      <c r="BJ19" s="95">
        <v>46218</v>
      </c>
      <c r="BK19" s="94"/>
      <c r="BL19" s="91"/>
      <c r="BM19" s="93"/>
      <c r="BN19" s="93"/>
      <c r="BO19" s="92"/>
      <c r="BP19" s="94">
        <f t="shared" si="50"/>
        <v>0</v>
      </c>
      <c r="BQ19" s="116">
        <f t="shared" si="51"/>
        <v>0</v>
      </c>
      <c r="BR19" s="89">
        <f t="shared" si="32"/>
        <v>0</v>
      </c>
      <c r="BT19" s="95">
        <v>46249</v>
      </c>
      <c r="BU19" s="94"/>
      <c r="BV19" s="91"/>
      <c r="BW19" s="93"/>
      <c r="BX19" s="93"/>
      <c r="BY19" s="92"/>
      <c r="BZ19" s="94">
        <f t="shared" si="52"/>
        <v>0</v>
      </c>
      <c r="CA19" s="116">
        <f t="shared" si="53"/>
        <v>0</v>
      </c>
      <c r="CB19" s="89">
        <f t="shared" si="35"/>
        <v>0</v>
      </c>
      <c r="CD19" s="95">
        <v>46280</v>
      </c>
      <c r="CE19" s="94"/>
      <c r="CF19" s="91"/>
      <c r="CG19" s="93"/>
      <c r="CH19" s="93"/>
      <c r="CI19" s="92"/>
      <c r="CJ19" s="94">
        <f t="shared" si="54"/>
        <v>0</v>
      </c>
      <c r="CK19" s="116">
        <f t="shared" si="55"/>
        <v>0</v>
      </c>
      <c r="CL19" s="89">
        <f t="shared" si="38"/>
        <v>0</v>
      </c>
      <c r="CN19" s="95">
        <v>46310</v>
      </c>
      <c r="CO19" s="94"/>
      <c r="CP19" s="91"/>
      <c r="CQ19" s="93"/>
      <c r="CR19" s="93"/>
      <c r="CS19" s="92"/>
      <c r="CT19" s="94">
        <f t="shared" si="56"/>
        <v>0</v>
      </c>
      <c r="CU19" s="116">
        <f t="shared" si="57"/>
        <v>0</v>
      </c>
      <c r="CV19" s="89">
        <f t="shared" si="41"/>
        <v>0</v>
      </c>
      <c r="CX19" s="95">
        <v>46341</v>
      </c>
      <c r="CY19" s="94"/>
      <c r="CZ19" s="91"/>
      <c r="DA19" s="93"/>
      <c r="DB19" s="93"/>
      <c r="DC19" s="92"/>
      <c r="DD19" s="94">
        <f t="shared" si="58"/>
        <v>0</v>
      </c>
      <c r="DE19" s="116">
        <f t="shared" si="59"/>
        <v>0</v>
      </c>
      <c r="DF19" s="89">
        <f t="shared" si="44"/>
        <v>0</v>
      </c>
      <c r="DH19" s="95">
        <v>46371</v>
      </c>
      <c r="DI19" s="94"/>
      <c r="DJ19" s="91"/>
      <c r="DK19" s="93"/>
      <c r="DL19" s="93"/>
      <c r="DM19" s="92"/>
      <c r="DN19" s="94">
        <f t="shared" si="60"/>
        <v>0</v>
      </c>
      <c r="DO19" s="116">
        <f t="shared" si="61"/>
        <v>0</v>
      </c>
      <c r="DP19" s="89">
        <f t="shared" si="47"/>
        <v>0</v>
      </c>
    </row>
    <row r="20" spans="1:120">
      <c r="A20" s="96"/>
      <c r="B20" s="95">
        <v>46038</v>
      </c>
      <c r="C20" s="94">
        <v>0</v>
      </c>
      <c r="D20" s="91">
        <v>0</v>
      </c>
      <c r="E20" s="93">
        <v>0</v>
      </c>
      <c r="F20" s="93">
        <v>0</v>
      </c>
      <c r="G20" s="92">
        <v>0</v>
      </c>
      <c r="H20" s="94">
        <f t="shared" si="12"/>
        <v>0</v>
      </c>
      <c r="I20" s="116">
        <f t="shared" si="13"/>
        <v>0</v>
      </c>
      <c r="J20" s="89">
        <f t="shared" si="14"/>
        <v>0</v>
      </c>
      <c r="K20" s="111"/>
      <c r="L20" s="95">
        <v>46069</v>
      </c>
      <c r="M20" s="94"/>
      <c r="N20" s="91"/>
      <c r="O20" s="93"/>
      <c r="P20" s="93"/>
      <c r="Q20" s="92"/>
      <c r="R20" s="91">
        <f t="shared" si="15"/>
        <v>0</v>
      </c>
      <c r="S20" s="90">
        <f t="shared" si="16"/>
        <v>0</v>
      </c>
      <c r="T20" s="89">
        <f t="shared" si="17"/>
        <v>0</v>
      </c>
      <c r="V20" s="95">
        <v>46097</v>
      </c>
      <c r="W20" s="94"/>
      <c r="X20" s="91"/>
      <c r="Y20" s="93"/>
      <c r="Z20" s="93"/>
      <c r="AA20" s="92"/>
      <c r="AB20" s="94">
        <f t="shared" si="18"/>
        <v>0</v>
      </c>
      <c r="AC20" s="116">
        <f t="shared" si="19"/>
        <v>0</v>
      </c>
      <c r="AD20" s="89">
        <f t="shared" si="20"/>
        <v>0</v>
      </c>
      <c r="AF20" s="95">
        <v>46128</v>
      </c>
      <c r="AG20" s="94"/>
      <c r="AH20" s="91"/>
      <c r="AI20" s="93"/>
      <c r="AJ20" s="93"/>
      <c r="AK20" s="92"/>
      <c r="AL20" s="94">
        <f t="shared" si="21"/>
        <v>0</v>
      </c>
      <c r="AM20" s="116">
        <f t="shared" si="22"/>
        <v>0</v>
      </c>
      <c r="AN20" s="89">
        <f t="shared" si="23"/>
        <v>0</v>
      </c>
      <c r="AP20" s="95">
        <v>46158</v>
      </c>
      <c r="AQ20" s="94"/>
      <c r="AR20" s="91"/>
      <c r="AS20" s="93"/>
      <c r="AT20" s="93"/>
      <c r="AU20" s="92"/>
      <c r="AV20" s="94">
        <f t="shared" si="24"/>
        <v>0</v>
      </c>
      <c r="AW20" s="116">
        <f t="shared" si="25"/>
        <v>0</v>
      </c>
      <c r="AX20" s="89">
        <f t="shared" si="26"/>
        <v>0</v>
      </c>
      <c r="AZ20" s="95">
        <v>46189</v>
      </c>
      <c r="BA20" s="94"/>
      <c r="BB20" s="91"/>
      <c r="BC20" s="93"/>
      <c r="BD20" s="93"/>
      <c r="BE20" s="92"/>
      <c r="BF20" s="94">
        <f t="shared" si="48"/>
        <v>0</v>
      </c>
      <c r="BG20" s="116">
        <f t="shared" si="49"/>
        <v>0</v>
      </c>
      <c r="BH20" s="89">
        <f t="shared" si="29"/>
        <v>0</v>
      </c>
      <c r="BJ20" s="95">
        <v>46219</v>
      </c>
      <c r="BK20" s="94"/>
      <c r="BL20" s="91"/>
      <c r="BM20" s="93"/>
      <c r="BN20" s="93"/>
      <c r="BO20" s="92"/>
      <c r="BP20" s="94">
        <f t="shared" si="50"/>
        <v>0</v>
      </c>
      <c r="BQ20" s="116">
        <f t="shared" si="51"/>
        <v>0</v>
      </c>
      <c r="BR20" s="89">
        <f t="shared" si="32"/>
        <v>0</v>
      </c>
      <c r="BT20" s="95">
        <v>46250</v>
      </c>
      <c r="BU20" s="94"/>
      <c r="BV20" s="91"/>
      <c r="BW20" s="93"/>
      <c r="BX20" s="93"/>
      <c r="BY20" s="92"/>
      <c r="BZ20" s="94">
        <f t="shared" si="52"/>
        <v>0</v>
      </c>
      <c r="CA20" s="116">
        <f t="shared" si="53"/>
        <v>0</v>
      </c>
      <c r="CB20" s="89">
        <f t="shared" si="35"/>
        <v>0</v>
      </c>
      <c r="CD20" s="95">
        <v>46281</v>
      </c>
      <c r="CE20" s="94"/>
      <c r="CF20" s="91"/>
      <c r="CG20" s="93"/>
      <c r="CH20" s="93"/>
      <c r="CI20" s="92"/>
      <c r="CJ20" s="94">
        <f t="shared" si="54"/>
        <v>0</v>
      </c>
      <c r="CK20" s="116">
        <f t="shared" si="55"/>
        <v>0</v>
      </c>
      <c r="CL20" s="89">
        <f t="shared" si="38"/>
        <v>0</v>
      </c>
      <c r="CN20" s="95">
        <v>46311</v>
      </c>
      <c r="CO20" s="94"/>
      <c r="CP20" s="91"/>
      <c r="CQ20" s="93"/>
      <c r="CR20" s="93"/>
      <c r="CS20" s="92"/>
      <c r="CT20" s="94">
        <f t="shared" si="56"/>
        <v>0</v>
      </c>
      <c r="CU20" s="116">
        <f t="shared" si="57"/>
        <v>0</v>
      </c>
      <c r="CV20" s="89">
        <f t="shared" si="41"/>
        <v>0</v>
      </c>
      <c r="CX20" s="95">
        <v>46342</v>
      </c>
      <c r="CY20" s="94"/>
      <c r="CZ20" s="91"/>
      <c r="DA20" s="93"/>
      <c r="DB20" s="93"/>
      <c r="DC20" s="92"/>
      <c r="DD20" s="94">
        <f t="shared" si="58"/>
        <v>0</v>
      </c>
      <c r="DE20" s="116">
        <f t="shared" si="59"/>
        <v>0</v>
      </c>
      <c r="DF20" s="89">
        <f t="shared" si="44"/>
        <v>0</v>
      </c>
      <c r="DH20" s="95">
        <v>46372</v>
      </c>
      <c r="DI20" s="94"/>
      <c r="DJ20" s="91"/>
      <c r="DK20" s="93"/>
      <c r="DL20" s="93"/>
      <c r="DM20" s="92"/>
      <c r="DN20" s="94">
        <f t="shared" si="60"/>
        <v>0</v>
      </c>
      <c r="DO20" s="116">
        <f t="shared" si="61"/>
        <v>0</v>
      </c>
      <c r="DP20" s="89">
        <f t="shared" si="47"/>
        <v>0</v>
      </c>
    </row>
    <row r="21" spans="1:120">
      <c r="B21" s="95">
        <v>46039</v>
      </c>
      <c r="C21" s="94">
        <v>0</v>
      </c>
      <c r="D21" s="91">
        <v>0</v>
      </c>
      <c r="E21" s="93">
        <v>0</v>
      </c>
      <c r="F21" s="93">
        <v>0</v>
      </c>
      <c r="G21" s="92">
        <v>0</v>
      </c>
      <c r="H21" s="94">
        <f t="shared" si="12"/>
        <v>0</v>
      </c>
      <c r="I21" s="116">
        <f t="shared" si="13"/>
        <v>0</v>
      </c>
      <c r="J21" s="89">
        <f t="shared" si="14"/>
        <v>0</v>
      </c>
      <c r="K21" s="111"/>
      <c r="L21" s="95">
        <v>46070</v>
      </c>
      <c r="M21" s="94"/>
      <c r="N21" s="91"/>
      <c r="O21" s="93"/>
      <c r="P21" s="93"/>
      <c r="Q21" s="92"/>
      <c r="R21" s="91">
        <f t="shared" si="15"/>
        <v>0</v>
      </c>
      <c r="S21" s="90">
        <f t="shared" si="16"/>
        <v>0</v>
      </c>
      <c r="T21" s="89">
        <f t="shared" si="17"/>
        <v>0</v>
      </c>
      <c r="V21" s="95">
        <v>46098</v>
      </c>
      <c r="W21" s="94"/>
      <c r="X21" s="91"/>
      <c r="Y21" s="93"/>
      <c r="Z21" s="93"/>
      <c r="AA21" s="92"/>
      <c r="AB21" s="94">
        <f t="shared" si="18"/>
        <v>0</v>
      </c>
      <c r="AC21" s="116">
        <f t="shared" si="19"/>
        <v>0</v>
      </c>
      <c r="AD21" s="89">
        <f t="shared" si="20"/>
        <v>0</v>
      </c>
      <c r="AF21" s="95">
        <v>46129</v>
      </c>
      <c r="AG21" s="94"/>
      <c r="AH21" s="91"/>
      <c r="AI21" s="93"/>
      <c r="AJ21" s="93"/>
      <c r="AK21" s="92"/>
      <c r="AL21" s="94">
        <f t="shared" si="21"/>
        <v>0</v>
      </c>
      <c r="AM21" s="116">
        <f t="shared" si="22"/>
        <v>0</v>
      </c>
      <c r="AN21" s="89">
        <f t="shared" si="23"/>
        <v>0</v>
      </c>
      <c r="AP21" s="95">
        <v>46159</v>
      </c>
      <c r="AQ21" s="94"/>
      <c r="AR21" s="91"/>
      <c r="AS21" s="93"/>
      <c r="AT21" s="93"/>
      <c r="AU21" s="92"/>
      <c r="AV21" s="94">
        <f t="shared" si="24"/>
        <v>0</v>
      </c>
      <c r="AW21" s="116">
        <f t="shared" si="25"/>
        <v>0</v>
      </c>
      <c r="AX21" s="89">
        <f t="shared" si="26"/>
        <v>0</v>
      </c>
      <c r="AZ21" s="95">
        <v>46190</v>
      </c>
      <c r="BA21" s="94"/>
      <c r="BB21" s="91"/>
      <c r="BC21" s="93"/>
      <c r="BD21" s="93"/>
      <c r="BE21" s="92"/>
      <c r="BF21" s="94">
        <f t="shared" si="48"/>
        <v>0</v>
      </c>
      <c r="BG21" s="116">
        <f t="shared" si="49"/>
        <v>0</v>
      </c>
      <c r="BH21" s="89">
        <f t="shared" si="29"/>
        <v>0</v>
      </c>
      <c r="BJ21" s="95">
        <v>46220</v>
      </c>
      <c r="BK21" s="94"/>
      <c r="BL21" s="91"/>
      <c r="BM21" s="93"/>
      <c r="BN21" s="93"/>
      <c r="BO21" s="92"/>
      <c r="BP21" s="94">
        <f t="shared" si="50"/>
        <v>0</v>
      </c>
      <c r="BQ21" s="116">
        <f t="shared" si="51"/>
        <v>0</v>
      </c>
      <c r="BR21" s="89">
        <f t="shared" si="32"/>
        <v>0</v>
      </c>
      <c r="BT21" s="95">
        <v>46251</v>
      </c>
      <c r="BU21" s="94"/>
      <c r="BV21" s="91"/>
      <c r="BW21" s="93"/>
      <c r="BX21" s="93"/>
      <c r="BY21" s="92"/>
      <c r="BZ21" s="94">
        <f t="shared" si="52"/>
        <v>0</v>
      </c>
      <c r="CA21" s="116">
        <f t="shared" si="53"/>
        <v>0</v>
      </c>
      <c r="CB21" s="89">
        <f t="shared" si="35"/>
        <v>0</v>
      </c>
      <c r="CD21" s="95">
        <v>46282</v>
      </c>
      <c r="CE21" s="94"/>
      <c r="CF21" s="91"/>
      <c r="CG21" s="93"/>
      <c r="CH21" s="93"/>
      <c r="CI21" s="92"/>
      <c r="CJ21" s="94">
        <f t="shared" si="54"/>
        <v>0</v>
      </c>
      <c r="CK21" s="116">
        <f t="shared" si="55"/>
        <v>0</v>
      </c>
      <c r="CL21" s="89">
        <f t="shared" si="38"/>
        <v>0</v>
      </c>
      <c r="CN21" s="95">
        <v>46312</v>
      </c>
      <c r="CO21" s="94"/>
      <c r="CP21" s="91"/>
      <c r="CQ21" s="93"/>
      <c r="CR21" s="93"/>
      <c r="CS21" s="92"/>
      <c r="CT21" s="94">
        <f t="shared" si="56"/>
        <v>0</v>
      </c>
      <c r="CU21" s="116">
        <f t="shared" si="57"/>
        <v>0</v>
      </c>
      <c r="CV21" s="89">
        <f t="shared" si="41"/>
        <v>0</v>
      </c>
      <c r="CX21" s="95">
        <v>46343</v>
      </c>
      <c r="CY21" s="94"/>
      <c r="CZ21" s="91"/>
      <c r="DA21" s="93"/>
      <c r="DB21" s="93"/>
      <c r="DC21" s="92"/>
      <c r="DD21" s="94">
        <f t="shared" si="58"/>
        <v>0</v>
      </c>
      <c r="DE21" s="116">
        <f t="shared" si="59"/>
        <v>0</v>
      </c>
      <c r="DF21" s="89">
        <f t="shared" si="44"/>
        <v>0</v>
      </c>
      <c r="DH21" s="95">
        <v>46373</v>
      </c>
      <c r="DI21" s="94"/>
      <c r="DJ21" s="91"/>
      <c r="DK21" s="93"/>
      <c r="DL21" s="93"/>
      <c r="DM21" s="92"/>
      <c r="DN21" s="94">
        <f t="shared" si="60"/>
        <v>0</v>
      </c>
      <c r="DO21" s="116">
        <f t="shared" si="61"/>
        <v>0</v>
      </c>
      <c r="DP21" s="89">
        <f t="shared" si="47"/>
        <v>0</v>
      </c>
    </row>
    <row r="22" spans="1:120">
      <c r="B22" s="95">
        <v>46040</v>
      </c>
      <c r="C22" s="94">
        <v>0</v>
      </c>
      <c r="D22" s="91">
        <v>0</v>
      </c>
      <c r="E22" s="93">
        <v>0</v>
      </c>
      <c r="F22" s="93">
        <v>0</v>
      </c>
      <c r="G22" s="92">
        <v>0</v>
      </c>
      <c r="H22" s="94">
        <f t="shared" si="12"/>
        <v>0</v>
      </c>
      <c r="I22" s="116">
        <f t="shared" si="13"/>
        <v>0</v>
      </c>
      <c r="J22" s="89">
        <f t="shared" si="14"/>
        <v>0</v>
      </c>
      <c r="K22" s="111"/>
      <c r="L22" s="95">
        <v>46071</v>
      </c>
      <c r="M22" s="94"/>
      <c r="N22" s="91"/>
      <c r="O22" s="93"/>
      <c r="P22" s="93"/>
      <c r="Q22" s="92"/>
      <c r="R22" s="91">
        <f t="shared" si="15"/>
        <v>0</v>
      </c>
      <c r="S22" s="90">
        <f t="shared" si="16"/>
        <v>0</v>
      </c>
      <c r="T22" s="89">
        <f t="shared" si="17"/>
        <v>0</v>
      </c>
      <c r="V22" s="95">
        <v>46099</v>
      </c>
      <c r="W22" s="94"/>
      <c r="X22" s="91"/>
      <c r="Y22" s="93"/>
      <c r="Z22" s="93"/>
      <c r="AA22" s="92"/>
      <c r="AB22" s="94">
        <f t="shared" si="18"/>
        <v>0</v>
      </c>
      <c r="AC22" s="116">
        <f t="shared" si="19"/>
        <v>0</v>
      </c>
      <c r="AD22" s="89">
        <f t="shared" si="20"/>
        <v>0</v>
      </c>
      <c r="AF22" s="95">
        <v>46130</v>
      </c>
      <c r="AG22" s="94"/>
      <c r="AH22" s="91"/>
      <c r="AI22" s="93"/>
      <c r="AJ22" s="93"/>
      <c r="AK22" s="92"/>
      <c r="AL22" s="94">
        <f t="shared" si="21"/>
        <v>0</v>
      </c>
      <c r="AM22" s="116">
        <f t="shared" si="22"/>
        <v>0</v>
      </c>
      <c r="AN22" s="89">
        <f t="shared" si="23"/>
        <v>0</v>
      </c>
      <c r="AP22" s="95">
        <v>46160</v>
      </c>
      <c r="AQ22" s="94"/>
      <c r="AR22" s="91"/>
      <c r="AS22" s="93"/>
      <c r="AT22" s="93"/>
      <c r="AU22" s="92"/>
      <c r="AV22" s="94">
        <f t="shared" si="24"/>
        <v>0</v>
      </c>
      <c r="AW22" s="116">
        <f t="shared" si="25"/>
        <v>0</v>
      </c>
      <c r="AX22" s="89">
        <f t="shared" si="26"/>
        <v>0</v>
      </c>
      <c r="AZ22" s="95">
        <v>46191</v>
      </c>
      <c r="BA22" s="94"/>
      <c r="BB22" s="91"/>
      <c r="BC22" s="93"/>
      <c r="BD22" s="93"/>
      <c r="BE22" s="92"/>
      <c r="BF22" s="94">
        <f t="shared" si="48"/>
        <v>0</v>
      </c>
      <c r="BG22" s="116">
        <f t="shared" si="49"/>
        <v>0</v>
      </c>
      <c r="BH22" s="89">
        <f t="shared" si="29"/>
        <v>0</v>
      </c>
      <c r="BJ22" s="95">
        <v>46221</v>
      </c>
      <c r="BK22" s="94"/>
      <c r="BL22" s="91"/>
      <c r="BM22" s="93"/>
      <c r="BN22" s="93"/>
      <c r="BO22" s="92"/>
      <c r="BP22" s="94">
        <f t="shared" si="50"/>
        <v>0</v>
      </c>
      <c r="BQ22" s="116">
        <f t="shared" si="51"/>
        <v>0</v>
      </c>
      <c r="BR22" s="89">
        <f t="shared" si="32"/>
        <v>0</v>
      </c>
      <c r="BT22" s="95">
        <v>46252</v>
      </c>
      <c r="BU22" s="94"/>
      <c r="BV22" s="91"/>
      <c r="BW22" s="93"/>
      <c r="BX22" s="93"/>
      <c r="BY22" s="92"/>
      <c r="BZ22" s="94">
        <f t="shared" si="52"/>
        <v>0</v>
      </c>
      <c r="CA22" s="116">
        <f t="shared" si="53"/>
        <v>0</v>
      </c>
      <c r="CB22" s="89">
        <f t="shared" si="35"/>
        <v>0</v>
      </c>
      <c r="CD22" s="95">
        <v>46283</v>
      </c>
      <c r="CE22" s="94"/>
      <c r="CF22" s="91"/>
      <c r="CG22" s="93"/>
      <c r="CH22" s="93"/>
      <c r="CI22" s="92"/>
      <c r="CJ22" s="94">
        <f t="shared" si="54"/>
        <v>0</v>
      </c>
      <c r="CK22" s="116">
        <f t="shared" si="55"/>
        <v>0</v>
      </c>
      <c r="CL22" s="89">
        <f t="shared" si="38"/>
        <v>0</v>
      </c>
      <c r="CN22" s="95">
        <v>46313</v>
      </c>
      <c r="CO22" s="94"/>
      <c r="CP22" s="91"/>
      <c r="CQ22" s="93"/>
      <c r="CR22" s="93"/>
      <c r="CS22" s="92"/>
      <c r="CT22" s="94">
        <f t="shared" si="56"/>
        <v>0</v>
      </c>
      <c r="CU22" s="116">
        <f t="shared" si="57"/>
        <v>0</v>
      </c>
      <c r="CV22" s="89">
        <f t="shared" si="41"/>
        <v>0</v>
      </c>
      <c r="CX22" s="95">
        <v>46344</v>
      </c>
      <c r="CY22" s="94"/>
      <c r="CZ22" s="91"/>
      <c r="DA22" s="93"/>
      <c r="DB22" s="93"/>
      <c r="DC22" s="92"/>
      <c r="DD22" s="94">
        <f t="shared" si="58"/>
        <v>0</v>
      </c>
      <c r="DE22" s="116">
        <f t="shared" si="59"/>
        <v>0</v>
      </c>
      <c r="DF22" s="89">
        <f t="shared" si="44"/>
        <v>0</v>
      </c>
      <c r="DH22" s="95">
        <v>46374</v>
      </c>
      <c r="DI22" s="94"/>
      <c r="DJ22" s="91"/>
      <c r="DK22" s="93"/>
      <c r="DL22" s="93"/>
      <c r="DM22" s="92"/>
      <c r="DN22" s="94">
        <f t="shared" si="60"/>
        <v>0</v>
      </c>
      <c r="DO22" s="116">
        <f t="shared" si="61"/>
        <v>0</v>
      </c>
      <c r="DP22" s="89">
        <f t="shared" si="47"/>
        <v>0</v>
      </c>
    </row>
    <row r="23" spans="1:120">
      <c r="B23" s="95">
        <v>46041</v>
      </c>
      <c r="C23" s="94">
        <v>20</v>
      </c>
      <c r="D23" s="91">
        <v>14004</v>
      </c>
      <c r="E23" s="93">
        <v>1508</v>
      </c>
      <c r="F23" s="93">
        <v>536</v>
      </c>
      <c r="G23" s="92">
        <v>4290</v>
      </c>
      <c r="H23" s="94">
        <f t="shared" si="12"/>
        <v>20338</v>
      </c>
      <c r="I23" s="116">
        <f t="shared" si="13"/>
        <v>1.4522993430448443</v>
      </c>
      <c r="J23" s="89">
        <f t="shared" si="14"/>
        <v>1016.9</v>
      </c>
      <c r="K23" s="111"/>
      <c r="L23" s="95">
        <v>46072</v>
      </c>
      <c r="M23" s="94"/>
      <c r="N23" s="91"/>
      <c r="O23" s="93"/>
      <c r="P23" s="93"/>
      <c r="Q23" s="92"/>
      <c r="R23" s="91">
        <f t="shared" si="15"/>
        <v>0</v>
      </c>
      <c r="S23" s="90">
        <f t="shared" si="16"/>
        <v>0</v>
      </c>
      <c r="T23" s="89">
        <f t="shared" si="17"/>
        <v>0</v>
      </c>
      <c r="V23" s="95">
        <v>46100</v>
      </c>
      <c r="W23" s="94"/>
      <c r="X23" s="91"/>
      <c r="Y23" s="93"/>
      <c r="Z23" s="93"/>
      <c r="AA23" s="92"/>
      <c r="AB23" s="94">
        <f t="shared" si="18"/>
        <v>0</v>
      </c>
      <c r="AC23" s="116">
        <f t="shared" si="19"/>
        <v>0</v>
      </c>
      <c r="AD23" s="89">
        <f t="shared" si="20"/>
        <v>0</v>
      </c>
      <c r="AF23" s="95">
        <v>46131</v>
      </c>
      <c r="AG23" s="94"/>
      <c r="AH23" s="91"/>
      <c r="AI23" s="93"/>
      <c r="AJ23" s="93"/>
      <c r="AK23" s="92"/>
      <c r="AL23" s="94">
        <f t="shared" si="21"/>
        <v>0</v>
      </c>
      <c r="AM23" s="116">
        <f t="shared" si="22"/>
        <v>0</v>
      </c>
      <c r="AN23" s="89">
        <f t="shared" si="23"/>
        <v>0</v>
      </c>
      <c r="AP23" s="95">
        <v>46161</v>
      </c>
      <c r="AQ23" s="94"/>
      <c r="AR23" s="91"/>
      <c r="AS23" s="93"/>
      <c r="AT23" s="93"/>
      <c r="AU23" s="92"/>
      <c r="AV23" s="94">
        <f t="shared" si="24"/>
        <v>0</v>
      </c>
      <c r="AW23" s="116">
        <f t="shared" si="25"/>
        <v>0</v>
      </c>
      <c r="AX23" s="89">
        <f t="shared" si="26"/>
        <v>0</v>
      </c>
      <c r="AZ23" s="95">
        <v>46192</v>
      </c>
      <c r="BA23" s="94"/>
      <c r="BB23" s="91"/>
      <c r="BC23" s="93"/>
      <c r="BD23" s="93"/>
      <c r="BE23" s="92"/>
      <c r="BF23" s="94">
        <f t="shared" si="48"/>
        <v>0</v>
      </c>
      <c r="BG23" s="116">
        <f>IFERROR(BF23/BB23,0)</f>
        <v>0</v>
      </c>
      <c r="BH23" s="89">
        <f t="shared" si="29"/>
        <v>0</v>
      </c>
      <c r="BJ23" s="95">
        <v>46222</v>
      </c>
      <c r="BK23" s="94"/>
      <c r="BL23" s="91"/>
      <c r="BM23" s="93"/>
      <c r="BN23" s="93"/>
      <c r="BO23" s="92"/>
      <c r="BP23" s="94">
        <f t="shared" ref="BP23" si="63">SUM(BL23:BO23)</f>
        <v>0</v>
      </c>
      <c r="BQ23" s="116">
        <f t="shared" si="51"/>
        <v>0</v>
      </c>
      <c r="BR23" s="89">
        <f t="shared" si="32"/>
        <v>0</v>
      </c>
      <c r="BT23" s="95">
        <v>46253</v>
      </c>
      <c r="BU23" s="94"/>
      <c r="BV23" s="91"/>
      <c r="BW23" s="93"/>
      <c r="BX23" s="93"/>
      <c r="BY23" s="92"/>
      <c r="BZ23" s="94">
        <f t="shared" si="52"/>
        <v>0</v>
      </c>
      <c r="CA23" s="116">
        <f t="shared" si="53"/>
        <v>0</v>
      </c>
      <c r="CB23" s="89">
        <f t="shared" si="35"/>
        <v>0</v>
      </c>
      <c r="CD23" s="95">
        <v>46284</v>
      </c>
      <c r="CE23" s="94"/>
      <c r="CF23" s="91"/>
      <c r="CG23" s="93"/>
      <c r="CH23" s="93"/>
      <c r="CI23" s="92"/>
      <c r="CJ23" s="94">
        <f t="shared" si="54"/>
        <v>0</v>
      </c>
      <c r="CK23" s="116">
        <f>IFERROR(CJ23/CF23,0)</f>
        <v>0</v>
      </c>
      <c r="CL23" s="89">
        <f t="shared" si="38"/>
        <v>0</v>
      </c>
      <c r="CN23" s="95">
        <v>46314</v>
      </c>
      <c r="CO23" s="94"/>
      <c r="CP23" s="91"/>
      <c r="CQ23" s="93"/>
      <c r="CR23" s="93"/>
      <c r="CS23" s="92"/>
      <c r="CT23" s="94">
        <f t="shared" si="56"/>
        <v>0</v>
      </c>
      <c r="CU23" s="116">
        <f t="shared" si="57"/>
        <v>0</v>
      </c>
      <c r="CV23" s="89">
        <f t="shared" si="41"/>
        <v>0</v>
      </c>
      <c r="CX23" s="95">
        <v>46345</v>
      </c>
      <c r="CY23" s="94"/>
      <c r="CZ23" s="91"/>
      <c r="DA23" s="93"/>
      <c r="DB23" s="93"/>
      <c r="DC23" s="92"/>
      <c r="DD23" s="94">
        <f t="shared" si="58"/>
        <v>0</v>
      </c>
      <c r="DE23" s="116">
        <f>IFERROR(DD23/CZ23,0)</f>
        <v>0</v>
      </c>
      <c r="DF23" s="89">
        <f t="shared" si="44"/>
        <v>0</v>
      </c>
      <c r="DH23" s="95">
        <v>46375</v>
      </c>
      <c r="DI23" s="94"/>
      <c r="DJ23" s="91"/>
      <c r="DK23" s="93"/>
      <c r="DL23" s="93"/>
      <c r="DM23" s="92"/>
      <c r="DN23" s="94">
        <f t="shared" si="60"/>
        <v>0</v>
      </c>
      <c r="DO23" s="116">
        <f t="shared" si="61"/>
        <v>0</v>
      </c>
      <c r="DP23" s="89">
        <f t="shared" si="47"/>
        <v>0</v>
      </c>
    </row>
    <row r="24" spans="1:120">
      <c r="B24" s="95">
        <v>46042</v>
      </c>
      <c r="C24" s="94">
        <v>20</v>
      </c>
      <c r="D24" s="91">
        <v>13755</v>
      </c>
      <c r="E24" s="93">
        <v>1502</v>
      </c>
      <c r="F24" s="93">
        <v>525</v>
      </c>
      <c r="G24" s="92">
        <v>4336</v>
      </c>
      <c r="H24" s="94">
        <f t="shared" si="12"/>
        <v>20118</v>
      </c>
      <c r="I24" s="116">
        <f t="shared" si="13"/>
        <v>1.4625954198473283</v>
      </c>
      <c r="J24" s="89">
        <f t="shared" si="14"/>
        <v>1005.9</v>
      </c>
      <c r="K24" s="111"/>
      <c r="L24" s="95">
        <v>46073</v>
      </c>
      <c r="M24" s="94"/>
      <c r="N24" s="91"/>
      <c r="O24" s="93"/>
      <c r="P24" s="93"/>
      <c r="Q24" s="92"/>
      <c r="R24" s="91">
        <f t="shared" si="15"/>
        <v>0</v>
      </c>
      <c r="S24" s="90">
        <f t="shared" si="16"/>
        <v>0</v>
      </c>
      <c r="T24" s="89">
        <f t="shared" si="17"/>
        <v>0</v>
      </c>
      <c r="V24" s="95">
        <v>46101</v>
      </c>
      <c r="W24" s="94"/>
      <c r="X24" s="91"/>
      <c r="Y24" s="93"/>
      <c r="Z24" s="93"/>
      <c r="AA24" s="92"/>
      <c r="AB24" s="94">
        <f t="shared" si="18"/>
        <v>0</v>
      </c>
      <c r="AC24" s="116">
        <f t="shared" si="19"/>
        <v>0</v>
      </c>
      <c r="AD24" s="89">
        <f t="shared" si="20"/>
        <v>0</v>
      </c>
      <c r="AF24" s="95">
        <v>46132</v>
      </c>
      <c r="AG24" s="94"/>
      <c r="AH24" s="91"/>
      <c r="AI24" s="93"/>
      <c r="AJ24" s="93"/>
      <c r="AK24" s="92"/>
      <c r="AL24" s="94">
        <f t="shared" si="21"/>
        <v>0</v>
      </c>
      <c r="AM24" s="116">
        <f t="shared" si="22"/>
        <v>0</v>
      </c>
      <c r="AN24" s="89">
        <f t="shared" si="23"/>
        <v>0</v>
      </c>
      <c r="AP24" s="95">
        <v>46162</v>
      </c>
      <c r="AQ24" s="94"/>
      <c r="AR24" s="91"/>
      <c r="AS24" s="93"/>
      <c r="AT24" s="93"/>
      <c r="AU24" s="92"/>
      <c r="AV24" s="94">
        <f t="shared" si="24"/>
        <v>0</v>
      </c>
      <c r="AW24" s="116">
        <f t="shared" si="25"/>
        <v>0</v>
      </c>
      <c r="AX24" s="89">
        <f t="shared" si="26"/>
        <v>0</v>
      </c>
      <c r="AZ24" s="95">
        <v>46193</v>
      </c>
      <c r="BA24" s="94"/>
      <c r="BB24" s="91"/>
      <c r="BC24" s="93"/>
      <c r="BD24" s="93"/>
      <c r="BE24" s="92"/>
      <c r="BF24" s="94">
        <f t="shared" si="48"/>
        <v>0</v>
      </c>
      <c r="BG24" s="116">
        <f t="shared" si="49"/>
        <v>0</v>
      </c>
      <c r="BH24" s="89">
        <f t="shared" si="29"/>
        <v>0</v>
      </c>
      <c r="BJ24" s="95">
        <v>46223</v>
      </c>
      <c r="BK24" s="94"/>
      <c r="BL24" s="91"/>
      <c r="BM24" s="93"/>
      <c r="BN24" s="93"/>
      <c r="BO24" s="92"/>
      <c r="BP24" s="94">
        <f t="shared" ref="BP24" si="64">SUM(BL24:BO24)</f>
        <v>0</v>
      </c>
      <c r="BQ24" s="116">
        <f t="shared" si="51"/>
        <v>0</v>
      </c>
      <c r="BR24" s="89">
        <f t="shared" si="32"/>
        <v>0</v>
      </c>
      <c r="BT24" s="95">
        <v>46254</v>
      </c>
      <c r="BU24" s="94"/>
      <c r="BV24" s="91"/>
      <c r="BW24" s="93"/>
      <c r="BX24" s="93"/>
      <c r="BY24" s="92"/>
      <c r="BZ24" s="94">
        <f t="shared" ref="BZ24:BZ25" si="65">SUM(BV24:BY24)</f>
        <v>0</v>
      </c>
      <c r="CA24" s="116">
        <f t="shared" si="53"/>
        <v>0</v>
      </c>
      <c r="CB24" s="89">
        <f t="shared" si="35"/>
        <v>0</v>
      </c>
      <c r="CD24" s="95">
        <v>46285</v>
      </c>
      <c r="CE24" s="94"/>
      <c r="CF24" s="91"/>
      <c r="CG24" s="93"/>
      <c r="CH24" s="93"/>
      <c r="CI24" s="92"/>
      <c r="CJ24" s="94">
        <f t="shared" si="54"/>
        <v>0</v>
      </c>
      <c r="CK24" s="116">
        <f t="shared" ref="CK24:CK28" si="66">IFERROR(CJ24/CF24,0)</f>
        <v>0</v>
      </c>
      <c r="CL24" s="89">
        <f t="shared" si="38"/>
        <v>0</v>
      </c>
      <c r="CN24" s="95">
        <v>46315</v>
      </c>
      <c r="CO24" s="94"/>
      <c r="CP24" s="91"/>
      <c r="CQ24" s="93"/>
      <c r="CR24" s="93"/>
      <c r="CS24" s="92"/>
      <c r="CT24" s="94">
        <f t="shared" ref="CT24:CT35" si="67">SUM(CP24:CS24)</f>
        <v>0</v>
      </c>
      <c r="CU24" s="116">
        <f t="shared" si="57"/>
        <v>0</v>
      </c>
      <c r="CV24" s="89">
        <f t="shared" si="41"/>
        <v>0</v>
      </c>
      <c r="CX24" s="95">
        <v>46346</v>
      </c>
      <c r="CY24" s="94"/>
      <c r="CZ24" s="91"/>
      <c r="DA24" s="93"/>
      <c r="DB24" s="93"/>
      <c r="DC24" s="92"/>
      <c r="DD24" s="94">
        <f t="shared" si="58"/>
        <v>0</v>
      </c>
      <c r="DE24" s="116">
        <f t="shared" ref="DE24:DE28" si="68">IFERROR(DD24/CZ24,0)</f>
        <v>0</v>
      </c>
      <c r="DF24" s="89">
        <f t="shared" si="44"/>
        <v>0</v>
      </c>
      <c r="DH24" s="95">
        <v>46376</v>
      </c>
      <c r="DI24" s="94"/>
      <c r="DJ24" s="91"/>
      <c r="DK24" s="93"/>
      <c r="DL24" s="93"/>
      <c r="DM24" s="92"/>
      <c r="DN24" s="94">
        <f t="shared" si="60"/>
        <v>0</v>
      </c>
      <c r="DO24" s="116">
        <f t="shared" si="61"/>
        <v>0</v>
      </c>
      <c r="DP24" s="89">
        <f t="shared" si="47"/>
        <v>0</v>
      </c>
    </row>
    <row r="25" spans="1:120">
      <c r="B25" s="95">
        <v>46043</v>
      </c>
      <c r="C25" s="94">
        <v>13</v>
      </c>
      <c r="D25" s="91">
        <v>8727</v>
      </c>
      <c r="E25" s="93">
        <v>955</v>
      </c>
      <c r="F25" s="93">
        <v>340</v>
      </c>
      <c r="G25" s="92">
        <v>2930</v>
      </c>
      <c r="H25" s="94">
        <f t="shared" si="12"/>
        <v>12952</v>
      </c>
      <c r="I25" s="116">
        <f t="shared" si="13"/>
        <v>1.4841297123868453</v>
      </c>
      <c r="J25" s="89">
        <f t="shared" si="14"/>
        <v>996.30769230769226</v>
      </c>
      <c r="K25" s="111"/>
      <c r="L25" s="95">
        <v>46074</v>
      </c>
      <c r="M25" s="94"/>
      <c r="N25" s="91"/>
      <c r="O25" s="93"/>
      <c r="P25" s="93"/>
      <c r="Q25" s="92"/>
      <c r="R25" s="91">
        <f t="shared" si="15"/>
        <v>0</v>
      </c>
      <c r="S25" s="90">
        <f t="shared" si="16"/>
        <v>0</v>
      </c>
      <c r="T25" s="89">
        <f t="shared" si="17"/>
        <v>0</v>
      </c>
      <c r="V25" s="95">
        <v>46102</v>
      </c>
      <c r="W25" s="94"/>
      <c r="X25" s="91"/>
      <c r="Y25" s="93"/>
      <c r="Z25" s="93"/>
      <c r="AA25" s="92"/>
      <c r="AB25" s="94">
        <f t="shared" si="18"/>
        <v>0</v>
      </c>
      <c r="AC25" s="116">
        <f t="shared" si="19"/>
        <v>0</v>
      </c>
      <c r="AD25" s="89">
        <f t="shared" si="20"/>
        <v>0</v>
      </c>
      <c r="AF25" s="95">
        <v>46133</v>
      </c>
      <c r="AG25" s="94"/>
      <c r="AH25" s="91"/>
      <c r="AI25" s="93"/>
      <c r="AJ25" s="93"/>
      <c r="AK25" s="92"/>
      <c r="AL25" s="94">
        <f t="shared" si="21"/>
        <v>0</v>
      </c>
      <c r="AM25" s="116">
        <f t="shared" si="22"/>
        <v>0</v>
      </c>
      <c r="AN25" s="89">
        <f t="shared" si="23"/>
        <v>0</v>
      </c>
      <c r="AP25" s="95">
        <v>46163</v>
      </c>
      <c r="AQ25" s="94"/>
      <c r="AR25" s="91"/>
      <c r="AS25" s="93"/>
      <c r="AT25" s="93"/>
      <c r="AU25" s="92"/>
      <c r="AV25" s="94">
        <f t="shared" si="24"/>
        <v>0</v>
      </c>
      <c r="AW25" s="116">
        <f t="shared" si="25"/>
        <v>0</v>
      </c>
      <c r="AX25" s="89">
        <f t="shared" si="26"/>
        <v>0</v>
      </c>
      <c r="AZ25" s="95">
        <v>46194</v>
      </c>
      <c r="BA25" s="94"/>
      <c r="BB25" s="91"/>
      <c r="BC25" s="93"/>
      <c r="BD25" s="93"/>
      <c r="BE25" s="92"/>
      <c r="BF25" s="94">
        <f t="shared" si="48"/>
        <v>0</v>
      </c>
      <c r="BG25" s="116">
        <f t="shared" si="49"/>
        <v>0</v>
      </c>
      <c r="BH25" s="89">
        <f t="shared" si="29"/>
        <v>0</v>
      </c>
      <c r="BJ25" s="95">
        <v>46224</v>
      </c>
      <c r="BK25" s="94"/>
      <c r="BL25" s="91"/>
      <c r="BM25" s="93"/>
      <c r="BN25" s="93"/>
      <c r="BO25" s="92"/>
      <c r="BP25" s="94">
        <f t="shared" ref="BP25" si="69">SUM(BL25:BO25)</f>
        <v>0</v>
      </c>
      <c r="BQ25" s="116">
        <f t="shared" si="51"/>
        <v>0</v>
      </c>
      <c r="BR25" s="89">
        <f t="shared" si="32"/>
        <v>0</v>
      </c>
      <c r="BT25" s="95">
        <v>46255</v>
      </c>
      <c r="BU25" s="94"/>
      <c r="BV25" s="91"/>
      <c r="BW25" s="93"/>
      <c r="BX25" s="93"/>
      <c r="BY25" s="92"/>
      <c r="BZ25" s="94">
        <f t="shared" si="65"/>
        <v>0</v>
      </c>
      <c r="CA25" s="116">
        <f t="shared" si="53"/>
        <v>0</v>
      </c>
      <c r="CB25" s="89">
        <f t="shared" si="35"/>
        <v>0</v>
      </c>
      <c r="CD25" s="95">
        <v>46286</v>
      </c>
      <c r="CE25" s="94"/>
      <c r="CF25" s="91"/>
      <c r="CG25" s="93"/>
      <c r="CH25" s="93"/>
      <c r="CI25" s="92"/>
      <c r="CJ25" s="94">
        <f t="shared" si="54"/>
        <v>0</v>
      </c>
      <c r="CK25" s="116">
        <f t="shared" si="66"/>
        <v>0</v>
      </c>
      <c r="CL25" s="89">
        <f t="shared" si="38"/>
        <v>0</v>
      </c>
      <c r="CN25" s="95">
        <v>46316</v>
      </c>
      <c r="CO25" s="94"/>
      <c r="CP25" s="91"/>
      <c r="CQ25" s="93"/>
      <c r="CR25" s="93"/>
      <c r="CS25" s="92"/>
      <c r="CT25" s="94">
        <f t="shared" si="67"/>
        <v>0</v>
      </c>
      <c r="CU25" s="116">
        <f t="shared" si="57"/>
        <v>0</v>
      </c>
      <c r="CV25" s="89">
        <f t="shared" si="41"/>
        <v>0</v>
      </c>
      <c r="CX25" s="95">
        <v>46347</v>
      </c>
      <c r="CY25" s="94"/>
      <c r="CZ25" s="91"/>
      <c r="DA25" s="93"/>
      <c r="DB25" s="93"/>
      <c r="DC25" s="92"/>
      <c r="DD25" s="94">
        <f t="shared" si="58"/>
        <v>0</v>
      </c>
      <c r="DE25" s="116">
        <f t="shared" si="68"/>
        <v>0</v>
      </c>
      <c r="DF25" s="89">
        <f t="shared" si="44"/>
        <v>0</v>
      </c>
      <c r="DH25" s="95">
        <v>46377</v>
      </c>
      <c r="DI25" s="94"/>
      <c r="DJ25" s="91"/>
      <c r="DK25" s="93"/>
      <c r="DL25" s="93"/>
      <c r="DM25" s="92"/>
      <c r="DN25" s="94">
        <f t="shared" si="60"/>
        <v>0</v>
      </c>
      <c r="DO25" s="116">
        <f t="shared" si="61"/>
        <v>0</v>
      </c>
      <c r="DP25" s="89">
        <f t="shared" si="47"/>
        <v>0</v>
      </c>
    </row>
    <row r="26" spans="1:120">
      <c r="B26" s="95">
        <v>46044</v>
      </c>
      <c r="C26" s="94">
        <v>0</v>
      </c>
      <c r="D26" s="91">
        <v>0</v>
      </c>
      <c r="E26" s="93">
        <v>0</v>
      </c>
      <c r="F26" s="93">
        <v>0</v>
      </c>
      <c r="G26" s="92">
        <v>0</v>
      </c>
      <c r="H26" s="94">
        <f t="shared" si="12"/>
        <v>0</v>
      </c>
      <c r="I26" s="116">
        <f t="shared" si="13"/>
        <v>0</v>
      </c>
      <c r="J26" s="89">
        <f t="shared" si="14"/>
        <v>0</v>
      </c>
      <c r="K26" s="111"/>
      <c r="L26" s="95">
        <v>46075</v>
      </c>
      <c r="M26" s="94"/>
      <c r="N26" s="91"/>
      <c r="O26" s="93"/>
      <c r="P26" s="93"/>
      <c r="Q26" s="92"/>
      <c r="R26" s="91">
        <f t="shared" si="15"/>
        <v>0</v>
      </c>
      <c r="S26" s="90">
        <f t="shared" si="16"/>
        <v>0</v>
      </c>
      <c r="T26" s="89">
        <f t="shared" si="17"/>
        <v>0</v>
      </c>
      <c r="V26" s="95">
        <v>46103</v>
      </c>
      <c r="W26" s="94"/>
      <c r="X26" s="91"/>
      <c r="Y26" s="93"/>
      <c r="Z26" s="93"/>
      <c r="AA26" s="92"/>
      <c r="AB26" s="94">
        <f t="shared" si="18"/>
        <v>0</v>
      </c>
      <c r="AC26" s="116">
        <f t="shared" si="19"/>
        <v>0</v>
      </c>
      <c r="AD26" s="89">
        <f t="shared" si="20"/>
        <v>0</v>
      </c>
      <c r="AF26" s="95">
        <v>46134</v>
      </c>
      <c r="AG26" s="94"/>
      <c r="AH26" s="91"/>
      <c r="AI26" s="93"/>
      <c r="AJ26" s="93"/>
      <c r="AK26" s="92"/>
      <c r="AL26" s="94">
        <f t="shared" si="21"/>
        <v>0</v>
      </c>
      <c r="AM26" s="116">
        <f t="shared" si="22"/>
        <v>0</v>
      </c>
      <c r="AN26" s="89">
        <f t="shared" si="23"/>
        <v>0</v>
      </c>
      <c r="AP26" s="95">
        <v>46164</v>
      </c>
      <c r="AQ26" s="94"/>
      <c r="AR26" s="91"/>
      <c r="AS26" s="93"/>
      <c r="AT26" s="93"/>
      <c r="AU26" s="92"/>
      <c r="AV26" s="94">
        <f t="shared" si="24"/>
        <v>0</v>
      </c>
      <c r="AW26" s="116">
        <f t="shared" si="25"/>
        <v>0</v>
      </c>
      <c r="AX26" s="89">
        <f t="shared" si="26"/>
        <v>0</v>
      </c>
      <c r="AZ26" s="95">
        <v>46195</v>
      </c>
      <c r="BA26" s="94"/>
      <c r="BB26" s="91"/>
      <c r="BC26" s="93"/>
      <c r="BD26" s="93"/>
      <c r="BE26" s="92"/>
      <c r="BF26" s="94">
        <f t="shared" si="48"/>
        <v>0</v>
      </c>
      <c r="BG26" s="116">
        <f t="shared" si="49"/>
        <v>0</v>
      </c>
      <c r="BH26" s="89">
        <f t="shared" si="29"/>
        <v>0</v>
      </c>
      <c r="BJ26" s="95">
        <v>46225</v>
      </c>
      <c r="BK26" s="94"/>
      <c r="BL26" s="91"/>
      <c r="BM26" s="93"/>
      <c r="BN26" s="93"/>
      <c r="BO26" s="92"/>
      <c r="BP26" s="94">
        <f t="shared" si="50"/>
        <v>0</v>
      </c>
      <c r="BQ26" s="116">
        <f t="shared" si="51"/>
        <v>0</v>
      </c>
      <c r="BR26" s="89">
        <f t="shared" si="32"/>
        <v>0</v>
      </c>
      <c r="BT26" s="95">
        <v>46256</v>
      </c>
      <c r="BU26" s="94"/>
      <c r="BV26" s="91"/>
      <c r="BW26" s="93"/>
      <c r="BX26" s="93"/>
      <c r="BY26" s="92"/>
      <c r="BZ26" s="94">
        <f t="shared" ref="BZ26:BZ35" si="70">SUM(BV26:BY26)</f>
        <v>0</v>
      </c>
      <c r="CA26" s="116">
        <f t="shared" si="53"/>
        <v>0</v>
      </c>
      <c r="CB26" s="89">
        <f t="shared" si="35"/>
        <v>0</v>
      </c>
      <c r="CD26" s="95">
        <v>46287</v>
      </c>
      <c r="CE26" s="94"/>
      <c r="CF26" s="91"/>
      <c r="CG26" s="93"/>
      <c r="CH26" s="93"/>
      <c r="CI26" s="92"/>
      <c r="CJ26" s="94">
        <f t="shared" si="54"/>
        <v>0</v>
      </c>
      <c r="CK26" s="116">
        <f t="shared" si="66"/>
        <v>0</v>
      </c>
      <c r="CL26" s="89">
        <f t="shared" si="38"/>
        <v>0</v>
      </c>
      <c r="CN26" s="95">
        <v>46317</v>
      </c>
      <c r="CO26" s="94"/>
      <c r="CP26" s="91"/>
      <c r="CQ26" s="93"/>
      <c r="CR26" s="93"/>
      <c r="CS26" s="92"/>
      <c r="CT26" s="94">
        <f t="shared" si="67"/>
        <v>0</v>
      </c>
      <c r="CU26" s="116">
        <f t="shared" si="57"/>
        <v>0</v>
      </c>
      <c r="CV26" s="89">
        <f t="shared" si="41"/>
        <v>0</v>
      </c>
      <c r="CX26" s="95">
        <v>46348</v>
      </c>
      <c r="CY26" s="94"/>
      <c r="CZ26" s="91"/>
      <c r="DA26" s="93"/>
      <c r="DB26" s="93"/>
      <c r="DC26" s="92"/>
      <c r="DD26" s="94">
        <f t="shared" si="58"/>
        <v>0</v>
      </c>
      <c r="DE26" s="116">
        <f t="shared" si="68"/>
        <v>0</v>
      </c>
      <c r="DF26" s="89">
        <f t="shared" si="44"/>
        <v>0</v>
      </c>
      <c r="DH26" s="95">
        <v>46378</v>
      </c>
      <c r="DI26" s="94"/>
      <c r="DJ26" s="91"/>
      <c r="DK26" s="93"/>
      <c r="DL26" s="93"/>
      <c r="DM26" s="92"/>
      <c r="DN26" s="94">
        <f t="shared" si="60"/>
        <v>0</v>
      </c>
      <c r="DO26" s="116">
        <f t="shared" si="61"/>
        <v>0</v>
      </c>
      <c r="DP26" s="89">
        <f t="shared" si="47"/>
        <v>0</v>
      </c>
    </row>
    <row r="27" spans="1:120">
      <c r="B27" s="95">
        <v>46045</v>
      </c>
      <c r="C27" s="94">
        <v>16</v>
      </c>
      <c r="D27" s="91">
        <v>11217</v>
      </c>
      <c r="E27" s="93">
        <v>1230</v>
      </c>
      <c r="F27" s="93">
        <v>427</v>
      </c>
      <c r="G27" s="92">
        <v>3562</v>
      </c>
      <c r="H27" s="94">
        <f t="shared" si="12"/>
        <v>16436</v>
      </c>
      <c r="I27" s="116">
        <f t="shared" si="13"/>
        <v>1.4652759204778461</v>
      </c>
      <c r="J27" s="89">
        <f t="shared" si="14"/>
        <v>1027.25</v>
      </c>
      <c r="K27" s="111"/>
      <c r="L27" s="95">
        <v>46076</v>
      </c>
      <c r="M27" s="94"/>
      <c r="N27" s="91"/>
      <c r="O27" s="93"/>
      <c r="P27" s="93"/>
      <c r="Q27" s="92"/>
      <c r="R27" s="91">
        <f t="shared" si="15"/>
        <v>0</v>
      </c>
      <c r="S27" s="90">
        <f t="shared" si="16"/>
        <v>0</v>
      </c>
      <c r="T27" s="89">
        <f t="shared" si="17"/>
        <v>0</v>
      </c>
      <c r="V27" s="95">
        <v>46104</v>
      </c>
      <c r="W27" s="94"/>
      <c r="X27" s="91"/>
      <c r="Y27" s="93"/>
      <c r="Z27" s="93"/>
      <c r="AA27" s="92"/>
      <c r="AB27" s="94">
        <f t="shared" si="18"/>
        <v>0</v>
      </c>
      <c r="AC27" s="116">
        <f t="shared" si="19"/>
        <v>0</v>
      </c>
      <c r="AD27" s="89">
        <f t="shared" si="20"/>
        <v>0</v>
      </c>
      <c r="AF27" s="95">
        <v>46135</v>
      </c>
      <c r="AG27" s="94"/>
      <c r="AH27" s="91"/>
      <c r="AI27" s="93"/>
      <c r="AJ27" s="93"/>
      <c r="AK27" s="92"/>
      <c r="AL27" s="94">
        <f t="shared" si="21"/>
        <v>0</v>
      </c>
      <c r="AM27" s="116">
        <f t="shared" si="22"/>
        <v>0</v>
      </c>
      <c r="AN27" s="89">
        <f t="shared" si="23"/>
        <v>0</v>
      </c>
      <c r="AP27" s="95">
        <v>46165</v>
      </c>
      <c r="AQ27" s="94"/>
      <c r="AR27" s="91"/>
      <c r="AS27" s="93"/>
      <c r="AT27" s="93"/>
      <c r="AU27" s="92"/>
      <c r="AV27" s="94">
        <f t="shared" si="24"/>
        <v>0</v>
      </c>
      <c r="AW27" s="116">
        <f t="shared" si="25"/>
        <v>0</v>
      </c>
      <c r="AX27" s="89">
        <f t="shared" si="26"/>
        <v>0</v>
      </c>
      <c r="AZ27" s="95">
        <v>46196</v>
      </c>
      <c r="BA27" s="94"/>
      <c r="BB27" s="91"/>
      <c r="BC27" s="93"/>
      <c r="BD27" s="93"/>
      <c r="BE27" s="92"/>
      <c r="BF27" s="94">
        <f t="shared" si="48"/>
        <v>0</v>
      </c>
      <c r="BG27" s="116">
        <f t="shared" si="49"/>
        <v>0</v>
      </c>
      <c r="BH27" s="89">
        <f t="shared" si="29"/>
        <v>0</v>
      </c>
      <c r="BJ27" s="95">
        <v>46226</v>
      </c>
      <c r="BK27" s="94"/>
      <c r="BL27" s="91"/>
      <c r="BM27" s="93"/>
      <c r="BN27" s="93"/>
      <c r="BO27" s="92"/>
      <c r="BP27" s="94">
        <f t="shared" si="50"/>
        <v>0</v>
      </c>
      <c r="BQ27" s="116">
        <f t="shared" si="51"/>
        <v>0</v>
      </c>
      <c r="BR27" s="89">
        <f t="shared" si="32"/>
        <v>0</v>
      </c>
      <c r="BT27" s="95">
        <v>46257</v>
      </c>
      <c r="BU27" s="94"/>
      <c r="BV27" s="91"/>
      <c r="BW27" s="93"/>
      <c r="BX27" s="93"/>
      <c r="BY27" s="92"/>
      <c r="BZ27" s="94">
        <f t="shared" si="70"/>
        <v>0</v>
      </c>
      <c r="CA27" s="116">
        <f t="shared" si="53"/>
        <v>0</v>
      </c>
      <c r="CB27" s="89">
        <f t="shared" si="35"/>
        <v>0</v>
      </c>
      <c r="CD27" s="95">
        <v>46288</v>
      </c>
      <c r="CE27" s="94"/>
      <c r="CF27" s="91"/>
      <c r="CG27" s="93"/>
      <c r="CH27" s="93"/>
      <c r="CI27" s="92"/>
      <c r="CJ27" s="94">
        <f t="shared" si="54"/>
        <v>0</v>
      </c>
      <c r="CK27" s="116">
        <f t="shared" si="66"/>
        <v>0</v>
      </c>
      <c r="CL27" s="89">
        <f t="shared" si="38"/>
        <v>0</v>
      </c>
      <c r="CN27" s="95">
        <v>46318</v>
      </c>
      <c r="CO27" s="94"/>
      <c r="CP27" s="91"/>
      <c r="CQ27" s="93"/>
      <c r="CR27" s="93"/>
      <c r="CS27" s="92"/>
      <c r="CT27" s="94">
        <f t="shared" si="67"/>
        <v>0</v>
      </c>
      <c r="CU27" s="116">
        <f t="shared" si="57"/>
        <v>0</v>
      </c>
      <c r="CV27" s="89">
        <f t="shared" si="41"/>
        <v>0</v>
      </c>
      <c r="CX27" s="95">
        <v>46349</v>
      </c>
      <c r="CY27" s="94"/>
      <c r="CZ27" s="91"/>
      <c r="DA27" s="93"/>
      <c r="DB27" s="93"/>
      <c r="DC27" s="92"/>
      <c r="DD27" s="94">
        <f t="shared" si="58"/>
        <v>0</v>
      </c>
      <c r="DE27" s="116">
        <f t="shared" si="68"/>
        <v>0</v>
      </c>
      <c r="DF27" s="89">
        <f t="shared" si="44"/>
        <v>0</v>
      </c>
      <c r="DH27" s="95">
        <v>46379</v>
      </c>
      <c r="DI27" s="94"/>
      <c r="DJ27" s="91"/>
      <c r="DK27" s="93"/>
      <c r="DL27" s="93"/>
      <c r="DM27" s="92"/>
      <c r="DN27" s="94">
        <f t="shared" si="60"/>
        <v>0</v>
      </c>
      <c r="DO27" s="116">
        <f t="shared" si="61"/>
        <v>0</v>
      </c>
      <c r="DP27" s="89">
        <f t="shared" si="47"/>
        <v>0</v>
      </c>
    </row>
    <row r="28" spans="1:120">
      <c r="B28" s="95">
        <v>46046</v>
      </c>
      <c r="C28" s="94">
        <v>0</v>
      </c>
      <c r="D28" s="91">
        <v>0</v>
      </c>
      <c r="E28" s="93">
        <v>0</v>
      </c>
      <c r="F28" s="93">
        <v>0</v>
      </c>
      <c r="G28" s="92">
        <v>0</v>
      </c>
      <c r="H28" s="94">
        <f t="shared" si="12"/>
        <v>0</v>
      </c>
      <c r="I28" s="116">
        <f t="shared" si="13"/>
        <v>0</v>
      </c>
      <c r="J28" s="89">
        <f t="shared" si="14"/>
        <v>0</v>
      </c>
      <c r="K28" s="111"/>
      <c r="L28" s="95">
        <v>46077</v>
      </c>
      <c r="M28" s="94"/>
      <c r="N28" s="91"/>
      <c r="O28" s="93"/>
      <c r="P28" s="93"/>
      <c r="Q28" s="92"/>
      <c r="R28" s="91">
        <f t="shared" si="15"/>
        <v>0</v>
      </c>
      <c r="S28" s="90">
        <f t="shared" si="16"/>
        <v>0</v>
      </c>
      <c r="T28" s="89">
        <f t="shared" si="17"/>
        <v>0</v>
      </c>
      <c r="V28" s="95">
        <v>46105</v>
      </c>
      <c r="W28" s="94"/>
      <c r="X28" s="91"/>
      <c r="Y28" s="93"/>
      <c r="Z28" s="93"/>
      <c r="AA28" s="92"/>
      <c r="AB28" s="94">
        <f t="shared" si="18"/>
        <v>0</v>
      </c>
      <c r="AC28" s="116">
        <f t="shared" si="19"/>
        <v>0</v>
      </c>
      <c r="AD28" s="89">
        <f t="shared" si="20"/>
        <v>0</v>
      </c>
      <c r="AF28" s="95">
        <v>46136</v>
      </c>
      <c r="AG28" s="94"/>
      <c r="AH28" s="91"/>
      <c r="AI28" s="93"/>
      <c r="AJ28" s="93"/>
      <c r="AK28" s="92"/>
      <c r="AL28" s="94">
        <f t="shared" si="21"/>
        <v>0</v>
      </c>
      <c r="AM28" s="116">
        <f t="shared" si="22"/>
        <v>0</v>
      </c>
      <c r="AN28" s="89">
        <f t="shared" si="23"/>
        <v>0</v>
      </c>
      <c r="AP28" s="95">
        <v>46166</v>
      </c>
      <c r="AQ28" s="94"/>
      <c r="AR28" s="91"/>
      <c r="AS28" s="93"/>
      <c r="AT28" s="93"/>
      <c r="AU28" s="92"/>
      <c r="AV28" s="94">
        <f t="shared" si="24"/>
        <v>0</v>
      </c>
      <c r="AW28" s="116">
        <f t="shared" si="25"/>
        <v>0</v>
      </c>
      <c r="AX28" s="89">
        <f t="shared" si="26"/>
        <v>0</v>
      </c>
      <c r="AZ28" s="95">
        <v>46197</v>
      </c>
      <c r="BA28" s="94"/>
      <c r="BB28" s="91"/>
      <c r="BC28" s="93"/>
      <c r="BD28" s="93"/>
      <c r="BE28" s="92"/>
      <c r="BF28" s="94">
        <f t="shared" si="48"/>
        <v>0</v>
      </c>
      <c r="BG28" s="116">
        <f t="shared" si="49"/>
        <v>0</v>
      </c>
      <c r="BH28" s="89">
        <f t="shared" si="29"/>
        <v>0</v>
      </c>
      <c r="BJ28" s="95">
        <v>46227</v>
      </c>
      <c r="BK28" s="94"/>
      <c r="BL28" s="91"/>
      <c r="BM28" s="93"/>
      <c r="BN28" s="93"/>
      <c r="BO28" s="92"/>
      <c r="BP28" s="94">
        <f t="shared" si="50"/>
        <v>0</v>
      </c>
      <c r="BQ28" s="116">
        <f t="shared" si="51"/>
        <v>0</v>
      </c>
      <c r="BR28" s="89">
        <f t="shared" si="32"/>
        <v>0</v>
      </c>
      <c r="BT28" s="95">
        <v>46258</v>
      </c>
      <c r="BU28" s="94"/>
      <c r="BV28" s="91"/>
      <c r="BW28" s="93"/>
      <c r="BX28" s="93"/>
      <c r="BY28" s="92"/>
      <c r="BZ28" s="94">
        <f t="shared" si="70"/>
        <v>0</v>
      </c>
      <c r="CA28" s="116">
        <f t="shared" si="53"/>
        <v>0</v>
      </c>
      <c r="CB28" s="89">
        <f t="shared" si="35"/>
        <v>0</v>
      </c>
      <c r="CD28" s="95">
        <v>46289</v>
      </c>
      <c r="CE28" s="94"/>
      <c r="CF28" s="91"/>
      <c r="CG28" s="93"/>
      <c r="CH28" s="93"/>
      <c r="CI28" s="92"/>
      <c r="CJ28" s="94">
        <f t="shared" si="54"/>
        <v>0</v>
      </c>
      <c r="CK28" s="116">
        <f t="shared" si="66"/>
        <v>0</v>
      </c>
      <c r="CL28" s="89">
        <f t="shared" si="38"/>
        <v>0</v>
      </c>
      <c r="CN28" s="95">
        <v>46319</v>
      </c>
      <c r="CO28" s="94"/>
      <c r="CP28" s="91"/>
      <c r="CQ28" s="93"/>
      <c r="CR28" s="93"/>
      <c r="CS28" s="92"/>
      <c r="CT28" s="94">
        <f t="shared" si="67"/>
        <v>0</v>
      </c>
      <c r="CU28" s="116">
        <f t="shared" si="57"/>
        <v>0</v>
      </c>
      <c r="CV28" s="89">
        <f t="shared" si="41"/>
        <v>0</v>
      </c>
      <c r="CX28" s="95">
        <v>46350</v>
      </c>
      <c r="CY28" s="94"/>
      <c r="CZ28" s="91"/>
      <c r="DA28" s="93"/>
      <c r="DB28" s="93"/>
      <c r="DC28" s="92"/>
      <c r="DD28" s="94">
        <f t="shared" si="58"/>
        <v>0</v>
      </c>
      <c r="DE28" s="116">
        <f t="shared" si="68"/>
        <v>0</v>
      </c>
      <c r="DF28" s="89">
        <f t="shared" si="44"/>
        <v>0</v>
      </c>
      <c r="DH28" s="95">
        <v>46380</v>
      </c>
      <c r="DI28" s="94"/>
      <c r="DJ28" s="91"/>
      <c r="DK28" s="93"/>
      <c r="DL28" s="93"/>
      <c r="DM28" s="92"/>
      <c r="DN28" s="94">
        <f t="shared" si="60"/>
        <v>0</v>
      </c>
      <c r="DO28" s="116">
        <f t="shared" si="61"/>
        <v>0</v>
      </c>
      <c r="DP28" s="89">
        <f t="shared" si="47"/>
        <v>0</v>
      </c>
    </row>
    <row r="29" spans="1:120">
      <c r="B29" s="95">
        <v>46047</v>
      </c>
      <c r="C29" s="94">
        <v>0</v>
      </c>
      <c r="D29" s="91">
        <v>0</v>
      </c>
      <c r="E29" s="93">
        <v>0</v>
      </c>
      <c r="F29" s="93">
        <v>0</v>
      </c>
      <c r="G29" s="92">
        <v>0</v>
      </c>
      <c r="H29" s="94">
        <f t="shared" si="12"/>
        <v>0</v>
      </c>
      <c r="I29" s="116">
        <f t="shared" si="13"/>
        <v>0</v>
      </c>
      <c r="J29" s="89">
        <f t="shared" si="14"/>
        <v>0</v>
      </c>
      <c r="K29" s="111"/>
      <c r="L29" s="95">
        <v>46078</v>
      </c>
      <c r="M29" s="94"/>
      <c r="N29" s="91"/>
      <c r="O29" s="93"/>
      <c r="P29" s="93"/>
      <c r="Q29" s="92"/>
      <c r="R29" s="91">
        <f t="shared" si="15"/>
        <v>0</v>
      </c>
      <c r="S29" s="90">
        <f t="shared" si="16"/>
        <v>0</v>
      </c>
      <c r="T29" s="89">
        <f t="shared" si="17"/>
        <v>0</v>
      </c>
      <c r="V29" s="95">
        <v>46106</v>
      </c>
      <c r="W29" s="94"/>
      <c r="X29" s="91"/>
      <c r="Y29" s="93"/>
      <c r="Z29" s="93"/>
      <c r="AA29" s="92"/>
      <c r="AB29" s="94">
        <f t="shared" si="18"/>
        <v>0</v>
      </c>
      <c r="AC29" s="116">
        <f t="shared" si="19"/>
        <v>0</v>
      </c>
      <c r="AD29" s="89">
        <f t="shared" si="20"/>
        <v>0</v>
      </c>
      <c r="AF29" s="95">
        <v>46137</v>
      </c>
      <c r="AG29" s="94"/>
      <c r="AH29" s="91"/>
      <c r="AI29" s="93"/>
      <c r="AJ29" s="93"/>
      <c r="AK29" s="92"/>
      <c r="AL29" s="94">
        <f t="shared" si="21"/>
        <v>0</v>
      </c>
      <c r="AM29" s="116">
        <f t="shared" si="22"/>
        <v>0</v>
      </c>
      <c r="AN29" s="89">
        <f t="shared" si="23"/>
        <v>0</v>
      </c>
      <c r="AP29" s="95">
        <v>46167</v>
      </c>
      <c r="AQ29" s="94"/>
      <c r="AR29" s="91"/>
      <c r="AS29" s="93"/>
      <c r="AT29" s="93"/>
      <c r="AU29" s="92"/>
      <c r="AV29" s="94">
        <f t="shared" si="24"/>
        <v>0</v>
      </c>
      <c r="AW29" s="116">
        <f t="shared" si="25"/>
        <v>0</v>
      </c>
      <c r="AX29" s="89">
        <f t="shared" si="26"/>
        <v>0</v>
      </c>
      <c r="AZ29" s="95">
        <v>46198</v>
      </c>
      <c r="BA29" s="94"/>
      <c r="BB29" s="91"/>
      <c r="BC29" s="93"/>
      <c r="BD29" s="93"/>
      <c r="BE29" s="92"/>
      <c r="BF29" s="94">
        <f t="shared" si="48"/>
        <v>0</v>
      </c>
      <c r="BG29" s="116">
        <f>IFERROR(BF29/BB29,0)</f>
        <v>0</v>
      </c>
      <c r="BH29" s="89">
        <f t="shared" si="29"/>
        <v>0</v>
      </c>
      <c r="BJ29" s="95">
        <v>46228</v>
      </c>
      <c r="BK29" s="94"/>
      <c r="BL29" s="91"/>
      <c r="BM29" s="93"/>
      <c r="BN29" s="93"/>
      <c r="BO29" s="92"/>
      <c r="BP29" s="94">
        <f t="shared" si="50"/>
        <v>0</v>
      </c>
      <c r="BQ29" s="116">
        <f t="shared" si="51"/>
        <v>0</v>
      </c>
      <c r="BR29" s="89">
        <f t="shared" si="32"/>
        <v>0</v>
      </c>
      <c r="BT29" s="95">
        <v>46259</v>
      </c>
      <c r="BU29" s="94"/>
      <c r="BV29" s="91"/>
      <c r="BW29" s="93"/>
      <c r="BX29" s="93"/>
      <c r="BY29" s="92"/>
      <c r="BZ29" s="94">
        <f t="shared" si="70"/>
        <v>0</v>
      </c>
      <c r="CA29" s="116">
        <f t="shared" si="53"/>
        <v>0</v>
      </c>
      <c r="CB29" s="89">
        <f t="shared" si="35"/>
        <v>0</v>
      </c>
      <c r="CD29" s="95">
        <v>46290</v>
      </c>
      <c r="CE29" s="94"/>
      <c r="CF29" s="91"/>
      <c r="CG29" s="93"/>
      <c r="CH29" s="93"/>
      <c r="CI29" s="92"/>
      <c r="CJ29" s="94">
        <f t="shared" si="54"/>
        <v>0</v>
      </c>
      <c r="CK29" s="116">
        <f>IFERROR(CJ29/CF29,0)</f>
        <v>0</v>
      </c>
      <c r="CL29" s="89">
        <f t="shared" si="38"/>
        <v>0</v>
      </c>
      <c r="CN29" s="95">
        <v>46320</v>
      </c>
      <c r="CO29" s="94"/>
      <c r="CP29" s="91"/>
      <c r="CQ29" s="93"/>
      <c r="CR29" s="93"/>
      <c r="CS29" s="92"/>
      <c r="CT29" s="94">
        <f t="shared" si="67"/>
        <v>0</v>
      </c>
      <c r="CU29" s="116">
        <f t="shared" si="57"/>
        <v>0</v>
      </c>
      <c r="CV29" s="89">
        <f t="shared" si="41"/>
        <v>0</v>
      </c>
      <c r="CX29" s="95">
        <v>46351</v>
      </c>
      <c r="CY29" s="94"/>
      <c r="CZ29" s="91"/>
      <c r="DA29" s="93"/>
      <c r="DB29" s="93"/>
      <c r="DC29" s="92"/>
      <c r="DD29" s="94">
        <f t="shared" si="58"/>
        <v>0</v>
      </c>
      <c r="DE29" s="116">
        <f>IFERROR(DD29/CZ29,0)</f>
        <v>0</v>
      </c>
      <c r="DF29" s="89">
        <f t="shared" si="44"/>
        <v>0</v>
      </c>
      <c r="DH29" s="95">
        <v>46381</v>
      </c>
      <c r="DI29" s="94"/>
      <c r="DJ29" s="91"/>
      <c r="DK29" s="93"/>
      <c r="DL29" s="93"/>
      <c r="DM29" s="92"/>
      <c r="DN29" s="94">
        <f t="shared" si="60"/>
        <v>0</v>
      </c>
      <c r="DO29" s="116">
        <f t="shared" si="61"/>
        <v>0</v>
      </c>
      <c r="DP29" s="89">
        <f t="shared" si="47"/>
        <v>0</v>
      </c>
    </row>
    <row r="30" spans="1:120">
      <c r="B30" s="95">
        <v>46048</v>
      </c>
      <c r="C30" s="94">
        <v>14</v>
      </c>
      <c r="D30" s="91">
        <v>9906</v>
      </c>
      <c r="E30" s="93">
        <v>1080</v>
      </c>
      <c r="F30" s="93">
        <v>372</v>
      </c>
      <c r="G30" s="92">
        <v>3024</v>
      </c>
      <c r="H30" s="94">
        <f t="shared" si="12"/>
        <v>14382</v>
      </c>
      <c r="I30" s="116">
        <f t="shared" si="13"/>
        <v>1.451847365233192</v>
      </c>
      <c r="J30" s="89">
        <f t="shared" si="14"/>
        <v>1027.2857142857142</v>
      </c>
      <c r="K30" s="111"/>
      <c r="L30" s="95">
        <v>46079</v>
      </c>
      <c r="M30" s="94"/>
      <c r="N30" s="91"/>
      <c r="O30" s="93"/>
      <c r="P30" s="93"/>
      <c r="Q30" s="92"/>
      <c r="R30" s="91">
        <f t="shared" si="15"/>
        <v>0</v>
      </c>
      <c r="S30" s="90">
        <f t="shared" si="16"/>
        <v>0</v>
      </c>
      <c r="T30" s="89">
        <f t="shared" si="17"/>
        <v>0</v>
      </c>
      <c r="V30" s="95">
        <v>46107</v>
      </c>
      <c r="W30" s="94"/>
      <c r="X30" s="91"/>
      <c r="Y30" s="93"/>
      <c r="Z30" s="93"/>
      <c r="AA30" s="92"/>
      <c r="AB30" s="94">
        <f t="shared" si="18"/>
        <v>0</v>
      </c>
      <c r="AC30" s="116">
        <f t="shared" si="19"/>
        <v>0</v>
      </c>
      <c r="AD30" s="89">
        <f t="shared" si="20"/>
        <v>0</v>
      </c>
      <c r="AF30" s="95">
        <v>46138</v>
      </c>
      <c r="AG30" s="94"/>
      <c r="AH30" s="91"/>
      <c r="AI30" s="93"/>
      <c r="AJ30" s="93"/>
      <c r="AK30" s="92"/>
      <c r="AL30" s="94">
        <f t="shared" si="21"/>
        <v>0</v>
      </c>
      <c r="AM30" s="116">
        <f t="shared" si="22"/>
        <v>0</v>
      </c>
      <c r="AN30" s="89">
        <f t="shared" si="23"/>
        <v>0</v>
      </c>
      <c r="AP30" s="95">
        <v>46168</v>
      </c>
      <c r="AQ30" s="94"/>
      <c r="AR30" s="91"/>
      <c r="AS30" s="93"/>
      <c r="AT30" s="93"/>
      <c r="AU30" s="92"/>
      <c r="AV30" s="94">
        <f t="shared" si="24"/>
        <v>0</v>
      </c>
      <c r="AW30" s="116">
        <f t="shared" si="25"/>
        <v>0</v>
      </c>
      <c r="AX30" s="89">
        <f t="shared" si="26"/>
        <v>0</v>
      </c>
      <c r="AZ30" s="95">
        <v>46199</v>
      </c>
      <c r="BA30" s="94"/>
      <c r="BB30" s="91"/>
      <c r="BC30" s="93"/>
      <c r="BD30" s="93"/>
      <c r="BE30" s="92"/>
      <c r="BF30" s="94">
        <f t="shared" si="48"/>
        <v>0</v>
      </c>
      <c r="BG30" s="116">
        <f t="shared" si="49"/>
        <v>0</v>
      </c>
      <c r="BH30" s="89">
        <f t="shared" si="29"/>
        <v>0</v>
      </c>
      <c r="BJ30" s="95">
        <v>46229</v>
      </c>
      <c r="BK30" s="94"/>
      <c r="BL30" s="91"/>
      <c r="BM30" s="93"/>
      <c r="BN30" s="93"/>
      <c r="BO30" s="92"/>
      <c r="BP30" s="94">
        <f t="shared" ref="BP30" si="71">SUM(BL30:BO30)</f>
        <v>0</v>
      </c>
      <c r="BQ30" s="116">
        <f t="shared" si="51"/>
        <v>0</v>
      </c>
      <c r="BR30" s="89">
        <f t="shared" si="32"/>
        <v>0</v>
      </c>
      <c r="BT30" s="95">
        <v>46260</v>
      </c>
      <c r="BU30" s="94"/>
      <c r="BV30" s="91"/>
      <c r="BW30" s="93"/>
      <c r="BX30" s="93"/>
      <c r="BY30" s="92"/>
      <c r="BZ30" s="94">
        <f t="shared" si="70"/>
        <v>0</v>
      </c>
      <c r="CA30" s="116">
        <f t="shared" si="53"/>
        <v>0</v>
      </c>
      <c r="CB30" s="89">
        <f t="shared" si="35"/>
        <v>0</v>
      </c>
      <c r="CD30" s="95">
        <v>46291</v>
      </c>
      <c r="CE30" s="94"/>
      <c r="CF30" s="91"/>
      <c r="CG30" s="93"/>
      <c r="CH30" s="93"/>
      <c r="CI30" s="92"/>
      <c r="CJ30" s="94">
        <f t="shared" si="54"/>
        <v>0</v>
      </c>
      <c r="CK30" s="116">
        <f t="shared" ref="CK30" si="72">IFERROR(CJ30/CF30,0)</f>
        <v>0</v>
      </c>
      <c r="CL30" s="89">
        <f t="shared" si="38"/>
        <v>0</v>
      </c>
      <c r="CN30" s="95">
        <v>46321</v>
      </c>
      <c r="CO30" s="94"/>
      <c r="CP30" s="91"/>
      <c r="CQ30" s="93"/>
      <c r="CR30" s="93"/>
      <c r="CS30" s="92"/>
      <c r="CT30" s="94">
        <f t="shared" si="67"/>
        <v>0</v>
      </c>
      <c r="CU30" s="116">
        <f t="shared" si="57"/>
        <v>0</v>
      </c>
      <c r="CV30" s="89">
        <f t="shared" si="41"/>
        <v>0</v>
      </c>
      <c r="CX30" s="95">
        <v>46352</v>
      </c>
      <c r="CY30" s="94"/>
      <c r="CZ30" s="91"/>
      <c r="DA30" s="93"/>
      <c r="DB30" s="93"/>
      <c r="DC30" s="92"/>
      <c r="DD30" s="94">
        <f t="shared" si="58"/>
        <v>0</v>
      </c>
      <c r="DE30" s="116">
        <f t="shared" ref="DE30" si="73">IFERROR(DD30/CZ30,0)</f>
        <v>0</v>
      </c>
      <c r="DF30" s="89">
        <f t="shared" si="44"/>
        <v>0</v>
      </c>
      <c r="DH30" s="95">
        <v>46382</v>
      </c>
      <c r="DI30" s="94"/>
      <c r="DJ30" s="91"/>
      <c r="DK30" s="93"/>
      <c r="DL30" s="93"/>
      <c r="DM30" s="92"/>
      <c r="DN30" s="94">
        <f t="shared" si="60"/>
        <v>0</v>
      </c>
      <c r="DO30" s="116">
        <f t="shared" si="61"/>
        <v>0</v>
      </c>
      <c r="DP30" s="89">
        <f t="shared" si="47"/>
        <v>0</v>
      </c>
    </row>
    <row r="31" spans="1:120">
      <c r="B31" s="95">
        <v>46049</v>
      </c>
      <c r="C31" s="94">
        <v>14</v>
      </c>
      <c r="D31" s="91">
        <v>9899</v>
      </c>
      <c r="E31" s="93">
        <v>1098</v>
      </c>
      <c r="F31" s="93">
        <v>372</v>
      </c>
      <c r="G31" s="92">
        <v>3187</v>
      </c>
      <c r="H31" s="94">
        <f t="shared" si="12"/>
        <v>14556</v>
      </c>
      <c r="I31" s="116">
        <f t="shared" si="13"/>
        <v>1.4704515607637134</v>
      </c>
      <c r="J31" s="89">
        <f t="shared" si="14"/>
        <v>1039.7142857142858</v>
      </c>
      <c r="K31" s="111"/>
      <c r="L31" s="95">
        <v>46080</v>
      </c>
      <c r="M31" s="94"/>
      <c r="N31" s="91"/>
      <c r="O31" s="93"/>
      <c r="P31" s="93"/>
      <c r="Q31" s="92"/>
      <c r="R31" s="91">
        <f t="shared" si="15"/>
        <v>0</v>
      </c>
      <c r="S31" s="90">
        <f t="shared" si="16"/>
        <v>0</v>
      </c>
      <c r="T31" s="89">
        <f t="shared" si="17"/>
        <v>0</v>
      </c>
      <c r="V31" s="95">
        <v>46108</v>
      </c>
      <c r="W31" s="94"/>
      <c r="X31" s="91"/>
      <c r="Y31" s="93"/>
      <c r="Z31" s="93"/>
      <c r="AA31" s="92"/>
      <c r="AB31" s="94">
        <f t="shared" si="18"/>
        <v>0</v>
      </c>
      <c r="AC31" s="116">
        <f t="shared" si="19"/>
        <v>0</v>
      </c>
      <c r="AD31" s="89">
        <f t="shared" si="20"/>
        <v>0</v>
      </c>
      <c r="AF31" s="95">
        <v>46139</v>
      </c>
      <c r="AG31" s="94"/>
      <c r="AH31" s="91"/>
      <c r="AI31" s="93"/>
      <c r="AJ31" s="93"/>
      <c r="AK31" s="92"/>
      <c r="AL31" s="94">
        <f t="shared" si="21"/>
        <v>0</v>
      </c>
      <c r="AM31" s="116">
        <f t="shared" si="22"/>
        <v>0</v>
      </c>
      <c r="AN31" s="89">
        <f t="shared" si="23"/>
        <v>0</v>
      </c>
      <c r="AP31" s="95">
        <v>46169</v>
      </c>
      <c r="AQ31" s="94"/>
      <c r="AR31" s="91"/>
      <c r="AS31" s="93"/>
      <c r="AT31" s="93"/>
      <c r="AU31" s="92"/>
      <c r="AV31" s="94">
        <f t="shared" si="24"/>
        <v>0</v>
      </c>
      <c r="AW31" s="116">
        <f>IFERROR(AV31/AR31,0)</f>
        <v>0</v>
      </c>
      <c r="AX31" s="89">
        <f t="shared" si="26"/>
        <v>0</v>
      </c>
      <c r="AZ31" s="95">
        <v>46200</v>
      </c>
      <c r="BA31" s="94"/>
      <c r="BB31" s="91"/>
      <c r="BC31" s="93"/>
      <c r="BD31" s="93"/>
      <c r="BE31" s="92"/>
      <c r="BF31" s="94">
        <f t="shared" si="48"/>
        <v>0</v>
      </c>
      <c r="BG31" s="116">
        <f>IFERROR(BF31/BB31,0)</f>
        <v>0</v>
      </c>
      <c r="BH31" s="89">
        <f t="shared" si="29"/>
        <v>0</v>
      </c>
      <c r="BJ31" s="95">
        <v>46230</v>
      </c>
      <c r="BK31" s="94"/>
      <c r="BL31" s="91"/>
      <c r="BM31" s="93"/>
      <c r="BN31" s="93"/>
      <c r="BO31" s="92"/>
      <c r="BP31" s="94">
        <f t="shared" ref="BP31" si="74">SUM(BL31:BO31)</f>
        <v>0</v>
      </c>
      <c r="BQ31" s="116">
        <f>IFERROR(BP31/BL31,0)</f>
        <v>0</v>
      </c>
      <c r="BR31" s="89">
        <f t="shared" si="32"/>
        <v>0</v>
      </c>
      <c r="BT31" s="95">
        <v>46261</v>
      </c>
      <c r="BU31" s="94"/>
      <c r="BV31" s="91"/>
      <c r="BW31" s="93"/>
      <c r="BX31" s="93"/>
      <c r="BY31" s="92"/>
      <c r="BZ31" s="94">
        <f t="shared" si="70"/>
        <v>0</v>
      </c>
      <c r="CA31" s="116">
        <f>IFERROR(BZ31/BV31,0)</f>
        <v>0</v>
      </c>
      <c r="CB31" s="89">
        <f t="shared" si="35"/>
        <v>0</v>
      </c>
      <c r="CD31" s="95">
        <v>46292</v>
      </c>
      <c r="CE31" s="94"/>
      <c r="CF31" s="91"/>
      <c r="CG31" s="93"/>
      <c r="CH31" s="93"/>
      <c r="CI31" s="92"/>
      <c r="CJ31" s="94">
        <f t="shared" si="54"/>
        <v>0</v>
      </c>
      <c r="CK31" s="116">
        <f>IFERROR(CJ31/CF31,0)</f>
        <v>0</v>
      </c>
      <c r="CL31" s="89">
        <f t="shared" si="38"/>
        <v>0</v>
      </c>
      <c r="CN31" s="95">
        <v>46322</v>
      </c>
      <c r="CO31" s="94"/>
      <c r="CP31" s="91"/>
      <c r="CQ31" s="93"/>
      <c r="CR31" s="93"/>
      <c r="CS31" s="92"/>
      <c r="CT31" s="94">
        <f t="shared" si="67"/>
        <v>0</v>
      </c>
      <c r="CU31" s="116">
        <f>IFERROR(CT31/CP31,0)</f>
        <v>0</v>
      </c>
      <c r="CV31" s="89">
        <f t="shared" si="41"/>
        <v>0</v>
      </c>
      <c r="CX31" s="95">
        <v>46353</v>
      </c>
      <c r="CY31" s="94"/>
      <c r="CZ31" s="91"/>
      <c r="DA31" s="93"/>
      <c r="DB31" s="93"/>
      <c r="DC31" s="92"/>
      <c r="DD31" s="94">
        <f t="shared" si="58"/>
        <v>0</v>
      </c>
      <c r="DE31" s="116">
        <f>IFERROR(DD31/CZ31,0)</f>
        <v>0</v>
      </c>
      <c r="DF31" s="89">
        <f t="shared" si="44"/>
        <v>0</v>
      </c>
      <c r="DH31" s="95">
        <v>46383</v>
      </c>
      <c r="DI31" s="94"/>
      <c r="DJ31" s="91"/>
      <c r="DK31" s="93"/>
      <c r="DL31" s="93"/>
      <c r="DM31" s="92"/>
      <c r="DN31" s="94">
        <f t="shared" si="60"/>
        <v>0</v>
      </c>
      <c r="DO31" s="116">
        <f>IFERROR(DN31/DJ31,0)</f>
        <v>0</v>
      </c>
      <c r="DP31" s="89">
        <f t="shared" si="47"/>
        <v>0</v>
      </c>
    </row>
    <row r="32" spans="1:120" ht="17.25" thickBot="1">
      <c r="B32" s="95">
        <v>46050</v>
      </c>
      <c r="C32" s="94">
        <v>14</v>
      </c>
      <c r="D32" s="91">
        <v>9904</v>
      </c>
      <c r="E32" s="93">
        <v>1096</v>
      </c>
      <c r="F32" s="93">
        <v>364</v>
      </c>
      <c r="G32" s="92">
        <v>3340</v>
      </c>
      <c r="H32" s="94">
        <f t="shared" si="12"/>
        <v>14704</v>
      </c>
      <c r="I32" s="116">
        <f t="shared" si="13"/>
        <v>1.4846526655896608</v>
      </c>
      <c r="J32" s="89">
        <f t="shared" si="14"/>
        <v>1050.2857142857142</v>
      </c>
      <c r="K32" s="111"/>
      <c r="L32" s="88">
        <v>46081</v>
      </c>
      <c r="M32" s="87"/>
      <c r="N32" s="84"/>
      <c r="O32" s="86"/>
      <c r="P32" s="86"/>
      <c r="Q32" s="85"/>
      <c r="R32" s="84">
        <f t="shared" si="15"/>
        <v>0</v>
      </c>
      <c r="S32" s="83">
        <f t="shared" si="16"/>
        <v>0</v>
      </c>
      <c r="T32" s="82">
        <f t="shared" si="17"/>
        <v>0</v>
      </c>
      <c r="V32" s="95">
        <v>46109</v>
      </c>
      <c r="W32" s="94"/>
      <c r="X32" s="91"/>
      <c r="Y32" s="93"/>
      <c r="Z32" s="93"/>
      <c r="AA32" s="92"/>
      <c r="AB32" s="94">
        <f t="shared" si="18"/>
        <v>0</v>
      </c>
      <c r="AC32" s="116">
        <f t="shared" si="19"/>
        <v>0</v>
      </c>
      <c r="AD32" s="89">
        <f t="shared" si="20"/>
        <v>0</v>
      </c>
      <c r="AF32" s="95">
        <v>46140</v>
      </c>
      <c r="AG32" s="94"/>
      <c r="AH32" s="91"/>
      <c r="AI32" s="93"/>
      <c r="AJ32" s="93"/>
      <c r="AK32" s="92"/>
      <c r="AL32" s="94">
        <f t="shared" si="21"/>
        <v>0</v>
      </c>
      <c r="AM32" s="116">
        <f t="shared" si="22"/>
        <v>0</v>
      </c>
      <c r="AN32" s="89">
        <f t="shared" si="23"/>
        <v>0</v>
      </c>
      <c r="AP32" s="95">
        <v>46170</v>
      </c>
      <c r="AQ32" s="94"/>
      <c r="AR32" s="91"/>
      <c r="AS32" s="93"/>
      <c r="AT32" s="93"/>
      <c r="AU32" s="92"/>
      <c r="AV32" s="94">
        <f t="shared" si="24"/>
        <v>0</v>
      </c>
      <c r="AW32" s="116">
        <f t="shared" si="25"/>
        <v>0</v>
      </c>
      <c r="AX32" s="89">
        <f t="shared" si="26"/>
        <v>0</v>
      </c>
      <c r="AZ32" s="95">
        <v>46201</v>
      </c>
      <c r="BA32" s="94"/>
      <c r="BB32" s="91"/>
      <c r="BC32" s="93"/>
      <c r="BD32" s="93"/>
      <c r="BE32" s="92"/>
      <c r="BF32" s="94">
        <f t="shared" si="48"/>
        <v>0</v>
      </c>
      <c r="BG32" s="116">
        <f t="shared" ref="BG32:BG34" si="75">IFERROR(BF32/BB32,0)</f>
        <v>0</v>
      </c>
      <c r="BH32" s="89">
        <f t="shared" si="29"/>
        <v>0</v>
      </c>
      <c r="BJ32" s="95">
        <v>46231</v>
      </c>
      <c r="BK32" s="94"/>
      <c r="BL32" s="91"/>
      <c r="BM32" s="93"/>
      <c r="BN32" s="93"/>
      <c r="BO32" s="92"/>
      <c r="BP32" s="94">
        <f t="shared" si="50"/>
        <v>0</v>
      </c>
      <c r="BQ32" s="116">
        <f t="shared" ref="BQ32:BQ35" si="76">IFERROR(BP32/BL32,0)</f>
        <v>0</v>
      </c>
      <c r="BR32" s="89">
        <f t="shared" si="32"/>
        <v>0</v>
      </c>
      <c r="BT32" s="95">
        <v>46262</v>
      </c>
      <c r="BU32" s="94"/>
      <c r="BV32" s="91"/>
      <c r="BW32" s="93"/>
      <c r="BX32" s="93"/>
      <c r="BY32" s="92"/>
      <c r="BZ32" s="94">
        <f t="shared" si="70"/>
        <v>0</v>
      </c>
      <c r="CA32" s="116">
        <f t="shared" ref="CA32:CA35" si="77">IFERROR(BZ32/BV32,0)</f>
        <v>0</v>
      </c>
      <c r="CB32" s="89">
        <f t="shared" si="35"/>
        <v>0</v>
      </c>
      <c r="CD32" s="95">
        <v>46293</v>
      </c>
      <c r="CE32" s="94"/>
      <c r="CF32" s="91"/>
      <c r="CG32" s="93"/>
      <c r="CH32" s="93"/>
      <c r="CI32" s="92"/>
      <c r="CJ32" s="94">
        <f t="shared" si="54"/>
        <v>0</v>
      </c>
      <c r="CK32" s="116">
        <f t="shared" ref="CK32:CK34" si="78">IFERROR(CJ32/CF32,0)</f>
        <v>0</v>
      </c>
      <c r="CL32" s="89">
        <f t="shared" si="38"/>
        <v>0</v>
      </c>
      <c r="CN32" s="95">
        <v>46323</v>
      </c>
      <c r="CO32" s="94"/>
      <c r="CP32" s="91"/>
      <c r="CQ32" s="93"/>
      <c r="CR32" s="93"/>
      <c r="CS32" s="92"/>
      <c r="CT32" s="94">
        <f t="shared" si="67"/>
        <v>0</v>
      </c>
      <c r="CU32" s="116">
        <f t="shared" ref="CU32:CU35" si="79">IFERROR(CT32/CP32,0)</f>
        <v>0</v>
      </c>
      <c r="CV32" s="89">
        <f t="shared" si="41"/>
        <v>0</v>
      </c>
      <c r="CX32" s="95">
        <v>46354</v>
      </c>
      <c r="CY32" s="94"/>
      <c r="CZ32" s="91"/>
      <c r="DA32" s="93"/>
      <c r="DB32" s="93"/>
      <c r="DC32" s="92"/>
      <c r="DD32" s="94">
        <f t="shared" si="58"/>
        <v>0</v>
      </c>
      <c r="DE32" s="116">
        <f t="shared" ref="DE32:DE34" si="80">IFERROR(DD32/CZ32,0)</f>
        <v>0</v>
      </c>
      <c r="DF32" s="89">
        <f t="shared" si="44"/>
        <v>0</v>
      </c>
      <c r="DH32" s="95">
        <v>46384</v>
      </c>
      <c r="DI32" s="94"/>
      <c r="DJ32" s="91"/>
      <c r="DK32" s="93"/>
      <c r="DL32" s="93"/>
      <c r="DM32" s="92"/>
      <c r="DN32" s="94">
        <f t="shared" si="60"/>
        <v>0</v>
      </c>
      <c r="DO32" s="116">
        <f t="shared" ref="DO32:DO35" si="81">IFERROR(DN32/DJ32,0)</f>
        <v>0</v>
      </c>
      <c r="DP32" s="89">
        <f t="shared" si="47"/>
        <v>0</v>
      </c>
    </row>
    <row r="33" spans="2:120">
      <c r="B33" s="95">
        <v>46051</v>
      </c>
      <c r="C33" s="94">
        <v>14</v>
      </c>
      <c r="D33" s="91">
        <v>9661</v>
      </c>
      <c r="E33" s="93">
        <v>1085</v>
      </c>
      <c r="F33" s="93">
        <v>353</v>
      </c>
      <c r="G33" s="92">
        <v>3127</v>
      </c>
      <c r="H33" s="94">
        <f t="shared" si="12"/>
        <v>14226</v>
      </c>
      <c r="I33" s="116">
        <f t="shared" si="13"/>
        <v>1.4725183728392506</v>
      </c>
      <c r="J33" s="89">
        <f t="shared" si="14"/>
        <v>1016.1428571428571</v>
      </c>
      <c r="K33" s="111"/>
      <c r="V33" s="95">
        <v>46110</v>
      </c>
      <c r="W33" s="94"/>
      <c r="X33" s="91"/>
      <c r="Y33" s="93"/>
      <c r="Z33" s="93"/>
      <c r="AA33" s="92"/>
      <c r="AB33" s="94">
        <f t="shared" si="18"/>
        <v>0</v>
      </c>
      <c r="AC33" s="116">
        <f t="shared" si="19"/>
        <v>0</v>
      </c>
      <c r="AD33" s="89">
        <f t="shared" si="20"/>
        <v>0</v>
      </c>
      <c r="AF33" s="95">
        <v>46141</v>
      </c>
      <c r="AG33" s="94"/>
      <c r="AH33" s="91"/>
      <c r="AI33" s="93"/>
      <c r="AJ33" s="93"/>
      <c r="AK33" s="92"/>
      <c r="AL33" s="94">
        <f>SUM(AH33:AK33)</f>
        <v>0</v>
      </c>
      <c r="AM33" s="116">
        <f t="shared" si="22"/>
        <v>0</v>
      </c>
      <c r="AN33" s="89">
        <f t="shared" si="23"/>
        <v>0</v>
      </c>
      <c r="AP33" s="95">
        <v>46171</v>
      </c>
      <c r="AQ33" s="94"/>
      <c r="AR33" s="91"/>
      <c r="AS33" s="93"/>
      <c r="AT33" s="93"/>
      <c r="AU33" s="92"/>
      <c r="AV33" s="94">
        <f t="shared" si="24"/>
        <v>0</v>
      </c>
      <c r="AW33" s="116">
        <f t="shared" si="25"/>
        <v>0</v>
      </c>
      <c r="AX33" s="89">
        <f t="shared" si="26"/>
        <v>0</v>
      </c>
      <c r="AZ33" s="95">
        <v>46202</v>
      </c>
      <c r="BA33" s="94"/>
      <c r="BB33" s="91"/>
      <c r="BC33" s="93"/>
      <c r="BD33" s="93"/>
      <c r="BE33" s="92"/>
      <c r="BF33" s="94">
        <f t="shared" si="48"/>
        <v>0</v>
      </c>
      <c r="BG33" s="116">
        <f t="shared" si="75"/>
        <v>0</v>
      </c>
      <c r="BH33" s="89">
        <f t="shared" si="29"/>
        <v>0</v>
      </c>
      <c r="BJ33" s="95">
        <v>46232</v>
      </c>
      <c r="BK33" s="94"/>
      <c r="BL33" s="91"/>
      <c r="BM33" s="93"/>
      <c r="BN33" s="93"/>
      <c r="BO33" s="92"/>
      <c r="BP33" s="94">
        <f t="shared" si="50"/>
        <v>0</v>
      </c>
      <c r="BQ33" s="116">
        <f t="shared" si="76"/>
        <v>0</v>
      </c>
      <c r="BR33" s="89">
        <f t="shared" si="32"/>
        <v>0</v>
      </c>
      <c r="BT33" s="95">
        <v>46263</v>
      </c>
      <c r="BU33" s="94"/>
      <c r="BV33" s="91"/>
      <c r="BW33" s="93"/>
      <c r="BX33" s="93"/>
      <c r="BY33" s="92"/>
      <c r="BZ33" s="94">
        <f t="shared" si="70"/>
        <v>0</v>
      </c>
      <c r="CA33" s="116">
        <f t="shared" si="77"/>
        <v>0</v>
      </c>
      <c r="CB33" s="89">
        <f t="shared" si="35"/>
        <v>0</v>
      </c>
      <c r="CD33" s="95">
        <v>46294</v>
      </c>
      <c r="CE33" s="94"/>
      <c r="CF33" s="91"/>
      <c r="CG33" s="93"/>
      <c r="CH33" s="93"/>
      <c r="CI33" s="92"/>
      <c r="CJ33" s="94">
        <f t="shared" si="54"/>
        <v>0</v>
      </c>
      <c r="CK33" s="116">
        <f t="shared" si="78"/>
        <v>0</v>
      </c>
      <c r="CL33" s="89">
        <f t="shared" si="38"/>
        <v>0</v>
      </c>
      <c r="CN33" s="95">
        <v>46324</v>
      </c>
      <c r="CO33" s="94"/>
      <c r="CP33" s="91"/>
      <c r="CQ33" s="93"/>
      <c r="CR33" s="93"/>
      <c r="CS33" s="92"/>
      <c r="CT33" s="94">
        <f t="shared" si="67"/>
        <v>0</v>
      </c>
      <c r="CU33" s="116">
        <f t="shared" si="79"/>
        <v>0</v>
      </c>
      <c r="CV33" s="89">
        <f t="shared" si="41"/>
        <v>0</v>
      </c>
      <c r="CX33" s="95">
        <v>46355</v>
      </c>
      <c r="CY33" s="94"/>
      <c r="CZ33" s="91"/>
      <c r="DA33" s="93"/>
      <c r="DB33" s="93"/>
      <c r="DC33" s="92"/>
      <c r="DD33" s="94">
        <f t="shared" si="58"/>
        <v>0</v>
      </c>
      <c r="DE33" s="116">
        <f t="shared" si="80"/>
        <v>0</v>
      </c>
      <c r="DF33" s="89">
        <f t="shared" si="44"/>
        <v>0</v>
      </c>
      <c r="DH33" s="95">
        <v>46385</v>
      </c>
      <c r="DI33" s="94"/>
      <c r="DJ33" s="91"/>
      <c r="DK33" s="93"/>
      <c r="DL33" s="93"/>
      <c r="DM33" s="92"/>
      <c r="DN33" s="94">
        <f t="shared" si="60"/>
        <v>0</v>
      </c>
      <c r="DO33" s="116">
        <f t="shared" si="81"/>
        <v>0</v>
      </c>
      <c r="DP33" s="89">
        <f t="shared" si="47"/>
        <v>0</v>
      </c>
    </row>
    <row r="34" spans="2:120" ht="17.25" thickBot="1">
      <c r="B34" s="95">
        <v>46052</v>
      </c>
      <c r="C34" s="94">
        <v>0</v>
      </c>
      <c r="D34" s="91">
        <v>0</v>
      </c>
      <c r="E34" s="93">
        <v>0</v>
      </c>
      <c r="F34" s="93">
        <v>0</v>
      </c>
      <c r="G34" s="92">
        <v>0</v>
      </c>
      <c r="H34" s="94">
        <f t="shared" si="12"/>
        <v>0</v>
      </c>
      <c r="I34" s="116">
        <f t="shared" si="13"/>
        <v>0</v>
      </c>
      <c r="J34" s="89">
        <f t="shared" si="14"/>
        <v>0</v>
      </c>
      <c r="K34" s="111"/>
      <c r="V34" s="95">
        <v>46111</v>
      </c>
      <c r="W34" s="94"/>
      <c r="X34" s="91"/>
      <c r="Y34" s="93"/>
      <c r="Z34" s="93"/>
      <c r="AA34" s="92"/>
      <c r="AB34" s="94">
        <f t="shared" si="18"/>
        <v>0</v>
      </c>
      <c r="AC34" s="116">
        <f t="shared" si="19"/>
        <v>0</v>
      </c>
      <c r="AD34" s="89">
        <f t="shared" si="20"/>
        <v>0</v>
      </c>
      <c r="AF34" s="88">
        <v>46142</v>
      </c>
      <c r="AG34" s="87"/>
      <c r="AH34" s="84"/>
      <c r="AI34" s="86"/>
      <c r="AJ34" s="86"/>
      <c r="AK34" s="85"/>
      <c r="AL34" s="87">
        <f t="shared" si="21"/>
        <v>0</v>
      </c>
      <c r="AM34" s="117">
        <f t="shared" si="22"/>
        <v>0</v>
      </c>
      <c r="AN34" s="82">
        <f t="shared" si="23"/>
        <v>0</v>
      </c>
      <c r="AP34" s="95">
        <v>46172</v>
      </c>
      <c r="AQ34" s="94"/>
      <c r="AR34" s="91"/>
      <c r="AS34" s="93"/>
      <c r="AT34" s="93"/>
      <c r="AU34" s="92"/>
      <c r="AV34" s="94">
        <f t="shared" si="24"/>
        <v>0</v>
      </c>
      <c r="AW34" s="116">
        <f t="shared" si="25"/>
        <v>0</v>
      </c>
      <c r="AX34" s="89">
        <f t="shared" si="26"/>
        <v>0</v>
      </c>
      <c r="AZ34" s="88">
        <v>46203</v>
      </c>
      <c r="BA34" s="87"/>
      <c r="BB34" s="84"/>
      <c r="BC34" s="86"/>
      <c r="BD34" s="86"/>
      <c r="BE34" s="85"/>
      <c r="BF34" s="87">
        <f t="shared" si="48"/>
        <v>0</v>
      </c>
      <c r="BG34" s="117">
        <f t="shared" si="75"/>
        <v>0</v>
      </c>
      <c r="BH34" s="82">
        <f t="shared" si="29"/>
        <v>0</v>
      </c>
      <c r="BJ34" s="95">
        <v>46233</v>
      </c>
      <c r="BK34" s="94"/>
      <c r="BL34" s="91"/>
      <c r="BM34" s="93"/>
      <c r="BN34" s="93"/>
      <c r="BO34" s="92"/>
      <c r="BP34" s="94">
        <f t="shared" si="50"/>
        <v>0</v>
      </c>
      <c r="BQ34" s="116">
        <f t="shared" si="76"/>
        <v>0</v>
      </c>
      <c r="BR34" s="89">
        <f t="shared" si="32"/>
        <v>0</v>
      </c>
      <c r="BT34" s="95">
        <v>46264</v>
      </c>
      <c r="BU34" s="94"/>
      <c r="BV34" s="91"/>
      <c r="BW34" s="93"/>
      <c r="BX34" s="93"/>
      <c r="BY34" s="92"/>
      <c r="BZ34" s="94">
        <f t="shared" si="70"/>
        <v>0</v>
      </c>
      <c r="CA34" s="116">
        <f t="shared" si="77"/>
        <v>0</v>
      </c>
      <c r="CB34" s="89">
        <f t="shared" si="35"/>
        <v>0</v>
      </c>
      <c r="CD34" s="88">
        <v>46295</v>
      </c>
      <c r="CE34" s="87"/>
      <c r="CF34" s="84"/>
      <c r="CG34" s="86"/>
      <c r="CH34" s="86"/>
      <c r="CI34" s="85"/>
      <c r="CJ34" s="87">
        <f t="shared" si="54"/>
        <v>0</v>
      </c>
      <c r="CK34" s="117">
        <f t="shared" si="78"/>
        <v>0</v>
      </c>
      <c r="CL34" s="82">
        <f t="shared" si="38"/>
        <v>0</v>
      </c>
      <c r="CN34" s="95">
        <v>46325</v>
      </c>
      <c r="CO34" s="94"/>
      <c r="CP34" s="91"/>
      <c r="CQ34" s="93"/>
      <c r="CR34" s="93"/>
      <c r="CS34" s="92"/>
      <c r="CT34" s="94">
        <f t="shared" si="67"/>
        <v>0</v>
      </c>
      <c r="CU34" s="116">
        <f t="shared" si="79"/>
        <v>0</v>
      </c>
      <c r="CV34" s="89">
        <f t="shared" si="41"/>
        <v>0</v>
      </c>
      <c r="CX34" s="88">
        <v>46356</v>
      </c>
      <c r="CY34" s="87"/>
      <c r="CZ34" s="84"/>
      <c r="DA34" s="86"/>
      <c r="DB34" s="86"/>
      <c r="DC34" s="85"/>
      <c r="DD34" s="87">
        <f t="shared" si="58"/>
        <v>0</v>
      </c>
      <c r="DE34" s="117">
        <f t="shared" si="80"/>
        <v>0</v>
      </c>
      <c r="DF34" s="82">
        <f t="shared" si="44"/>
        <v>0</v>
      </c>
      <c r="DH34" s="95">
        <v>46386</v>
      </c>
      <c r="DI34" s="94"/>
      <c r="DJ34" s="91"/>
      <c r="DK34" s="93"/>
      <c r="DL34" s="93"/>
      <c r="DM34" s="92"/>
      <c r="DN34" s="94">
        <f t="shared" si="60"/>
        <v>0</v>
      </c>
      <c r="DO34" s="116">
        <f t="shared" si="81"/>
        <v>0</v>
      </c>
      <c r="DP34" s="89">
        <f t="shared" si="47"/>
        <v>0</v>
      </c>
    </row>
    <row r="35" spans="2:120" ht="17.25" thickBot="1">
      <c r="B35" s="88">
        <v>46053</v>
      </c>
      <c r="C35" s="87">
        <v>14</v>
      </c>
      <c r="D35" s="84">
        <v>11081</v>
      </c>
      <c r="E35" s="86">
        <v>1207</v>
      </c>
      <c r="F35" s="86">
        <v>414</v>
      </c>
      <c r="G35" s="85">
        <v>3842</v>
      </c>
      <c r="H35" s="87">
        <f t="shared" si="12"/>
        <v>16544</v>
      </c>
      <c r="I35" s="117">
        <f t="shared" si="13"/>
        <v>1.4930060463857053</v>
      </c>
      <c r="J35" s="82">
        <f t="shared" si="14"/>
        <v>1181.7142857142858</v>
      </c>
      <c r="K35" s="111"/>
      <c r="V35" s="88">
        <v>46112</v>
      </c>
      <c r="W35" s="87"/>
      <c r="X35" s="84"/>
      <c r="Y35" s="86"/>
      <c r="Z35" s="86"/>
      <c r="AA35" s="85"/>
      <c r="AB35" s="87">
        <f t="shared" si="18"/>
        <v>0</v>
      </c>
      <c r="AC35" s="117">
        <f t="shared" si="19"/>
        <v>0</v>
      </c>
      <c r="AD35" s="82">
        <f t="shared" si="20"/>
        <v>0</v>
      </c>
      <c r="AF35" s="131"/>
      <c r="AG35" s="132"/>
      <c r="AH35" s="132"/>
      <c r="AI35" s="132"/>
      <c r="AJ35" s="132"/>
      <c r="AK35" s="132"/>
      <c r="AL35" s="132"/>
      <c r="AM35" s="133"/>
      <c r="AN35" s="111"/>
      <c r="AP35" s="95">
        <v>46173</v>
      </c>
      <c r="AQ35" s="94"/>
      <c r="AR35" s="91"/>
      <c r="AS35" s="93"/>
      <c r="AT35" s="93"/>
      <c r="AU35" s="92"/>
      <c r="AV35" s="87">
        <f t="shared" si="24"/>
        <v>0</v>
      </c>
      <c r="AW35" s="117">
        <f t="shared" si="25"/>
        <v>0</v>
      </c>
      <c r="AX35" s="82">
        <f t="shared" si="26"/>
        <v>0</v>
      </c>
      <c r="BJ35" s="88">
        <v>46234</v>
      </c>
      <c r="BK35" s="87"/>
      <c r="BL35" s="84"/>
      <c r="BM35" s="86"/>
      <c r="BN35" s="86"/>
      <c r="BO35" s="85"/>
      <c r="BP35" s="87">
        <f t="shared" si="50"/>
        <v>0</v>
      </c>
      <c r="BQ35" s="117">
        <f t="shared" si="76"/>
        <v>0</v>
      </c>
      <c r="BR35" s="82">
        <f t="shared" si="32"/>
        <v>0</v>
      </c>
      <c r="BT35" s="88">
        <v>46265</v>
      </c>
      <c r="BU35" s="87"/>
      <c r="BV35" s="84"/>
      <c r="BW35" s="86"/>
      <c r="BX35" s="86"/>
      <c r="BY35" s="85"/>
      <c r="BZ35" s="87">
        <f t="shared" si="70"/>
        <v>0</v>
      </c>
      <c r="CA35" s="117">
        <f t="shared" si="77"/>
        <v>0</v>
      </c>
      <c r="CB35" s="82">
        <f t="shared" si="35"/>
        <v>0</v>
      </c>
      <c r="CF35" s="164"/>
      <c r="CG35" s="164"/>
      <c r="CH35" s="164"/>
      <c r="CI35" s="164"/>
      <c r="CN35" s="88">
        <v>46326</v>
      </c>
      <c r="CO35" s="87"/>
      <c r="CP35" s="84"/>
      <c r="CQ35" s="86"/>
      <c r="CR35" s="86"/>
      <c r="CS35" s="85"/>
      <c r="CT35" s="87">
        <f t="shared" si="67"/>
        <v>0</v>
      </c>
      <c r="CU35" s="117">
        <f t="shared" si="79"/>
        <v>0</v>
      </c>
      <c r="CV35" s="82">
        <f t="shared" si="41"/>
        <v>0</v>
      </c>
      <c r="DH35" s="88">
        <v>46387</v>
      </c>
      <c r="DI35" s="87"/>
      <c r="DJ35" s="84"/>
      <c r="DK35" s="86"/>
      <c r="DL35" s="86"/>
      <c r="DM35" s="85"/>
      <c r="DN35" s="87">
        <f t="shared" si="60"/>
        <v>0</v>
      </c>
      <c r="DO35" s="117">
        <f t="shared" si="81"/>
        <v>0</v>
      </c>
      <c r="DP35" s="82">
        <f t="shared" si="47"/>
        <v>0</v>
      </c>
    </row>
  </sheetData>
  <mergeCells count="12">
    <mergeCell ref="BJ3:BJ4"/>
    <mergeCell ref="AZ3:AZ4"/>
    <mergeCell ref="B3:B4"/>
    <mergeCell ref="L3:L4"/>
    <mergeCell ref="V3:V4"/>
    <mergeCell ref="AF3:AF4"/>
    <mergeCell ref="AP3:AP4"/>
    <mergeCell ref="DH3:DH4"/>
    <mergeCell ref="CX3:CX4"/>
    <mergeCell ref="CN3:CN4"/>
    <mergeCell ref="CD3:CD4"/>
    <mergeCell ref="BT3:BT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115年總表</vt:lpstr>
      <vt:lpstr>每日填寫-115年數據</vt:lpstr>
      <vt:lpstr>化學藥劑</vt:lpstr>
      <vt:lpstr>廠內飛灰存量變化</vt:lpstr>
      <vt:lpstr>飛灰製程原料用量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BT2025-9</cp:lastModifiedBy>
  <dcterms:created xsi:type="dcterms:W3CDTF">2025-01-03T05:55:07Z</dcterms:created>
  <dcterms:modified xsi:type="dcterms:W3CDTF">2026-02-03T02:10:00Z</dcterms:modified>
</cp:coreProperties>
</file>