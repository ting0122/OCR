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BT2025-9\Desktop\每日數據\"/>
    </mc:Choice>
  </mc:AlternateContent>
  <xr:revisionPtr revIDLastSave="0" documentId="13_ncr:1_{B4310F29-C9FA-423B-9110-665528DA1ED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月CEMS日監測" sheetId="19" r:id="rId1"/>
    <sheet name="1月CEMS日監測" sheetId="18" r:id="rId2"/>
  </sheets>
  <definedNames>
    <definedName name="_xlnm._FilterDatabase" localSheetId="1" hidden="1">'1月CEMS日監測'!$AM$3:$AQ$3</definedName>
    <definedName name="_xlnm._FilterDatabase" localSheetId="0" hidden="1">'2月CEMS日監測'!$AJ$3:$AN$3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H34" i="19" l="1"/>
  <c r="BG34" i="19"/>
  <c r="BF34" i="19"/>
  <c r="BE34" i="19"/>
  <c r="BD34" i="19"/>
  <c r="BC34" i="19"/>
  <c r="BB34" i="19"/>
  <c r="BA34" i="19"/>
  <c r="AZ34" i="19"/>
  <c r="AY34" i="19"/>
  <c r="AX34" i="19"/>
  <c r="AW34" i="19"/>
  <c r="AV34" i="19"/>
  <c r="AU34" i="19"/>
  <c r="AT34" i="19"/>
  <c r="AS34" i="19"/>
  <c r="AR34" i="19"/>
  <c r="AQ34" i="19"/>
  <c r="AG33" i="19"/>
  <c r="AG32" i="19"/>
  <c r="AG31" i="19"/>
  <c r="AG30" i="19"/>
  <c r="AG29" i="19"/>
  <c r="AG28" i="19"/>
  <c r="AG27" i="19"/>
  <c r="AG26" i="19"/>
  <c r="AG25" i="19"/>
  <c r="AG24" i="19"/>
  <c r="AG23" i="19"/>
  <c r="AG22" i="19"/>
  <c r="AG21" i="19"/>
  <c r="AG20" i="19"/>
  <c r="AG19" i="19"/>
  <c r="AG18" i="19"/>
  <c r="AG17" i="19"/>
  <c r="AG16" i="19"/>
  <c r="AG15" i="19"/>
  <c r="AG14" i="19"/>
  <c r="AG13" i="19"/>
  <c r="AG12" i="19"/>
  <c r="AG11" i="19"/>
  <c r="AG10" i="19"/>
  <c r="AG9" i="19"/>
  <c r="AG8" i="19"/>
  <c r="AG7" i="19"/>
  <c r="AG6" i="19"/>
  <c r="AG5" i="19"/>
  <c r="AG4" i="19"/>
  <c r="BK37" i="18"/>
  <c r="BJ37" i="18"/>
  <c r="BI37" i="18"/>
  <c r="BH37" i="18"/>
  <c r="BG37" i="18"/>
  <c r="BF37" i="18"/>
  <c r="BE37" i="18"/>
  <c r="BD37" i="18"/>
  <c r="BC37" i="18"/>
  <c r="BB37" i="18"/>
  <c r="BA37" i="18"/>
  <c r="AZ37" i="18"/>
  <c r="AY37" i="18"/>
  <c r="AX37" i="18"/>
  <c r="AW37" i="18"/>
  <c r="AV37" i="18"/>
  <c r="AU37" i="18"/>
  <c r="AT37" i="18"/>
  <c r="AJ33" i="18"/>
  <c r="AJ32" i="18"/>
  <c r="AJ31" i="18"/>
  <c r="AJ30" i="18"/>
  <c r="AJ29" i="18"/>
  <c r="AJ28" i="18"/>
  <c r="AJ27" i="18"/>
  <c r="AJ26" i="18"/>
  <c r="AJ25" i="18"/>
  <c r="AJ24" i="18"/>
  <c r="AJ23" i="18"/>
  <c r="AJ22" i="18"/>
  <c r="AJ21" i="18"/>
  <c r="AJ20" i="18"/>
  <c r="AJ19" i="18"/>
  <c r="AJ18" i="18"/>
  <c r="AJ17" i="18"/>
  <c r="AJ16" i="18"/>
  <c r="AJ15" i="18"/>
  <c r="AJ14" i="18"/>
  <c r="AJ13" i="18"/>
  <c r="AJ12" i="18"/>
  <c r="AJ11" i="18"/>
  <c r="AJ10" i="18"/>
  <c r="AJ9" i="18"/>
  <c r="AJ8" i="18"/>
  <c r="AJ7" i="18"/>
  <c r="AJ6" i="18"/>
  <c r="AJ5" i="18"/>
  <c r="AJ4" i="18"/>
</calcChain>
</file>

<file path=xl/sharedStrings.xml><?xml version="1.0" encoding="utf-8"?>
<sst xmlns="http://schemas.openxmlformats.org/spreadsheetml/2006/main" count="604" uniqueCount="151">
  <si>
    <t>排放物</t>
    <phoneticPr fontId="1" type="noConversion"/>
  </si>
  <si>
    <t>爐別</t>
    <phoneticPr fontId="1" type="noConversion"/>
  </si>
  <si>
    <t>排放表示</t>
    <phoneticPr fontId="1" type="noConversion"/>
  </si>
  <si>
    <t>平均值</t>
    <phoneticPr fontId="1" type="noConversion"/>
  </si>
  <si>
    <t>契約限值</t>
    <phoneticPr fontId="1" type="noConversion"/>
  </si>
  <si>
    <r>
      <rPr>
        <sz val="8"/>
        <rFont val="標楷體"/>
        <family val="4"/>
        <charset val="136"/>
      </rPr>
      <t>硫氧化物</t>
    </r>
    <r>
      <rPr>
        <sz val="8"/>
        <rFont val="Times New Roman"/>
        <family val="1"/>
      </rPr>
      <t xml:space="preserve"> SOx    (ppm)</t>
    </r>
    <phoneticPr fontId="1" type="noConversion"/>
  </si>
  <si>
    <r>
      <rPr>
        <sz val="8"/>
        <rFont val="標楷體"/>
        <family val="4"/>
        <charset val="136"/>
      </rPr>
      <t>最小小時值</t>
    </r>
    <phoneticPr fontId="1" type="noConversion"/>
  </si>
  <si>
    <t>SOx</t>
    <phoneticPr fontId="1" type="noConversion"/>
  </si>
  <si>
    <r>
      <rPr>
        <sz val="8"/>
        <rFont val="標楷體"/>
        <family val="4"/>
        <charset val="136"/>
      </rPr>
      <t>最大小時值</t>
    </r>
    <phoneticPr fontId="1" type="noConversion"/>
  </si>
  <si>
    <t>NOx</t>
    <phoneticPr fontId="1" type="noConversion"/>
  </si>
  <si>
    <r>
      <rPr>
        <sz val="8"/>
        <rFont val="標楷體"/>
        <family val="4"/>
        <charset val="136"/>
      </rPr>
      <t>小時平均值</t>
    </r>
  </si>
  <si>
    <t>CO</t>
    <phoneticPr fontId="1" type="noConversion"/>
  </si>
  <si>
    <t>HCl</t>
    <phoneticPr fontId="1" type="noConversion"/>
  </si>
  <si>
    <t>Opacity</t>
    <phoneticPr fontId="1" type="noConversion"/>
  </si>
  <si>
    <r>
      <rPr>
        <sz val="8"/>
        <rFont val="標楷體"/>
        <family val="4"/>
        <charset val="136"/>
      </rPr>
      <t>氮氧化物</t>
    </r>
    <r>
      <rPr>
        <sz val="8"/>
        <rFont val="Times New Roman"/>
        <family val="1"/>
      </rPr>
      <t>NOx    (ppm)</t>
    </r>
    <phoneticPr fontId="1" type="noConversion"/>
  </si>
  <si>
    <r>
      <rPr>
        <sz val="8"/>
        <rFont val="標楷體"/>
        <family val="4"/>
        <charset val="136"/>
      </rPr>
      <t>一氧化碳</t>
    </r>
    <r>
      <rPr>
        <sz val="8"/>
        <rFont val="Times New Roman"/>
        <family val="1"/>
      </rPr>
      <t>CO    (ppm)</t>
    </r>
    <phoneticPr fontId="1" type="noConversion"/>
  </si>
  <si>
    <r>
      <rPr>
        <sz val="8"/>
        <rFont val="標楷體"/>
        <family val="4"/>
        <charset val="136"/>
      </rPr>
      <t>氯化氫</t>
    </r>
    <r>
      <rPr>
        <sz val="8"/>
        <rFont val="Times New Roman"/>
        <family val="1"/>
      </rPr>
      <t xml:space="preserve"> HCl    (ppm)</t>
    </r>
    <phoneticPr fontId="1" type="noConversion"/>
  </si>
  <si>
    <r>
      <rPr>
        <sz val="8"/>
        <rFont val="標楷體"/>
        <family val="4"/>
        <charset val="136"/>
      </rPr>
      <t>不透光率</t>
    </r>
    <r>
      <rPr>
        <sz val="8"/>
        <rFont val="Times New Roman"/>
        <family val="1"/>
      </rPr>
      <t>Opacity  (%)</t>
    </r>
    <phoneticPr fontId="9" type="noConversion"/>
  </si>
  <si>
    <t>備註：</t>
    <phoneticPr fontId="1" type="noConversion"/>
  </si>
  <si>
    <r>
      <rPr>
        <sz val="8"/>
        <color rgb="FF000000"/>
        <rFont val="Times New Roman"/>
        <family val="1"/>
      </rPr>
      <t>1</t>
    </r>
    <r>
      <rPr>
        <sz val="8"/>
        <color rgb="FF000000"/>
        <rFont val="標楷體"/>
        <family val="4"/>
        <charset val="136"/>
      </rPr>
      <t>、契約限值為契約規範之環境保證值。</t>
    </r>
    <phoneticPr fontId="1" type="noConversion"/>
  </si>
  <si>
    <t>硫氧化物</t>
  </si>
  <si>
    <t>氮氧化物</t>
  </si>
  <si>
    <t>一氧化碳</t>
  </si>
  <si>
    <t>氯化氫</t>
  </si>
  <si>
    <t>不透光率</t>
  </si>
  <si>
    <r>
      <t>2</t>
    </r>
    <r>
      <rPr>
        <sz val="8"/>
        <color rgb="FF000000"/>
        <rFont val="標楷體"/>
        <family val="4"/>
        <charset val="136"/>
      </rPr>
      <t>、法規標準為廢棄物焚化爐空氣污染物排放標準</t>
    </r>
    <r>
      <rPr>
        <sz val="8"/>
        <color rgb="FF000000"/>
        <rFont val="Times New Roman"/>
        <family val="1"/>
      </rPr>
      <t>(95.12.25</t>
    </r>
    <r>
      <rPr>
        <sz val="8"/>
        <color rgb="FF000000"/>
        <rFont val="標楷體"/>
        <family val="4"/>
        <charset val="136"/>
      </rPr>
      <t>修正</t>
    </r>
    <r>
      <rPr>
        <sz val="8"/>
        <color rgb="FF000000"/>
        <rFont val="Times New Roman"/>
        <family val="1"/>
      </rPr>
      <t>)</t>
    </r>
    <r>
      <rPr>
        <sz val="8"/>
        <color rgb="FF000000"/>
        <rFont val="標楷體"/>
        <family val="4"/>
        <charset val="136"/>
      </rPr>
      <t>。</t>
    </r>
    <phoneticPr fontId="1" type="noConversion"/>
  </si>
  <si>
    <t>契約限值</t>
  </si>
  <si>
    <t>法規標準</t>
  </si>
  <si>
    <r>
      <t>3</t>
    </r>
    <r>
      <rPr>
        <sz val="8"/>
        <color rgb="FF000000"/>
        <rFont val="標楷體"/>
        <family val="4"/>
        <charset val="136"/>
      </rPr>
      <t>、監測值為運轉期間之監測值</t>
    </r>
    <r>
      <rPr>
        <sz val="8"/>
        <color rgb="FF000000"/>
        <rFont val="Times New Roman"/>
        <family val="1"/>
      </rPr>
      <t>(CEMS</t>
    </r>
    <r>
      <rPr>
        <sz val="8"/>
        <color rgb="FF000000"/>
        <rFont val="標楷體"/>
        <family val="4"/>
        <charset val="136"/>
      </rPr>
      <t>代碼：</t>
    </r>
    <r>
      <rPr>
        <sz val="8"/>
        <color rgb="FF000000"/>
        <rFont val="Times New Roman"/>
        <family val="1"/>
      </rPr>
      <t>NA10</t>
    </r>
    <r>
      <rPr>
        <sz val="8"/>
        <color rgb="FF000000"/>
        <rFont val="新細明體"/>
        <family val="1"/>
        <charset val="136"/>
      </rPr>
      <t>、</t>
    </r>
    <r>
      <rPr>
        <sz val="8"/>
        <color rgb="FF000000"/>
        <rFont val="Times New Roman"/>
        <family val="1"/>
      </rPr>
      <t>NA11)</t>
    </r>
    <r>
      <rPr>
        <sz val="8"/>
        <color rgb="FF000000"/>
        <rFont val="標楷體"/>
        <family val="4"/>
        <charset val="136"/>
      </rPr>
      <t>。</t>
    </r>
    <phoneticPr fontId="1" type="noConversion"/>
  </si>
  <si>
    <t>時間</t>
    <phoneticPr fontId="1" type="noConversion"/>
  </si>
  <si>
    <t>日</t>
    <phoneticPr fontId="1" type="noConversion"/>
  </si>
  <si>
    <t>項目</t>
    <phoneticPr fontId="1" type="noConversion"/>
  </si>
  <si>
    <t>數值</t>
    <phoneticPr fontId="1" type="noConversion"/>
  </si>
  <si>
    <t>P201</t>
    <phoneticPr fontId="1" type="noConversion"/>
  </si>
  <si>
    <t>P101</t>
    <phoneticPr fontId="1" type="noConversion"/>
  </si>
  <si>
    <t>OP</t>
    <phoneticPr fontId="1" type="noConversion"/>
  </si>
  <si>
    <t>監測項目</t>
    <phoneticPr fontId="1" type="noConversion"/>
  </si>
  <si>
    <t>20</t>
    <phoneticPr fontId="1" type="noConversion"/>
  </si>
  <si>
    <t>70</t>
    <phoneticPr fontId="1" type="noConversion"/>
  </si>
  <si>
    <t>60</t>
    <phoneticPr fontId="1" type="noConversion"/>
  </si>
  <si>
    <t>30</t>
    <phoneticPr fontId="1" type="noConversion"/>
  </si>
  <si>
    <t>合計</t>
    <phoneticPr fontId="1" type="noConversion"/>
  </si>
  <si>
    <t>80</t>
    <phoneticPr fontId="1" type="noConversion"/>
  </si>
  <si>
    <t>180</t>
    <phoneticPr fontId="1" type="noConversion"/>
  </si>
  <si>
    <t>120</t>
    <phoneticPr fontId="1" type="noConversion"/>
  </si>
  <si>
    <t>40</t>
    <phoneticPr fontId="1" type="noConversion"/>
  </si>
  <si>
    <t>環評</t>
    <phoneticPr fontId="1" type="noConversion"/>
  </si>
  <si>
    <t>法規</t>
    <phoneticPr fontId="1" type="noConversion"/>
  </si>
  <si>
    <t>監測標準</t>
    <phoneticPr fontId="1" type="noConversion"/>
  </si>
  <si>
    <t>環評及法規</t>
    <phoneticPr fontId="1" type="noConversion"/>
  </si>
  <si>
    <t>CO(動小時)</t>
    <phoneticPr fontId="1" type="noConversion"/>
  </si>
  <si>
    <t>CEMS監測高於固定污染源排放許可標準次數</t>
    <phoneticPr fontId="1" type="noConversion"/>
  </si>
  <si>
    <t>1/1</t>
    <phoneticPr fontId="1" type="noConversion"/>
  </si>
  <si>
    <t>1/2</t>
  </si>
  <si>
    <t>1/3</t>
  </si>
  <si>
    <t>1/4</t>
  </si>
  <si>
    <t>1/5</t>
  </si>
  <si>
    <t>1/6</t>
  </si>
  <si>
    <t>1/7</t>
  </si>
  <si>
    <t>1/8</t>
  </si>
  <si>
    <t>1/9</t>
  </si>
  <si>
    <t>1/10</t>
  </si>
  <si>
    <t>1/11</t>
  </si>
  <si>
    <t>1/12</t>
  </si>
  <si>
    <t>1/13</t>
  </si>
  <si>
    <t>1/14</t>
  </si>
  <si>
    <t>1/15</t>
  </si>
  <si>
    <t>1/16</t>
  </si>
  <si>
    <t>1/17</t>
  </si>
  <si>
    <t>1/18</t>
  </si>
  <si>
    <t>1/19</t>
  </si>
  <si>
    <t>1/20</t>
  </si>
  <si>
    <t>1/21</t>
  </si>
  <si>
    <t>1/22</t>
  </si>
  <si>
    <t>1/23</t>
  </si>
  <si>
    <t>1/24</t>
  </si>
  <si>
    <t>1/25</t>
  </si>
  <si>
    <t>1/26</t>
  </si>
  <si>
    <t>1/27</t>
  </si>
  <si>
    <t>1/28</t>
  </si>
  <si>
    <t>1/29</t>
  </si>
  <si>
    <t>1/30</t>
  </si>
  <si>
    <t>1/31</t>
  </si>
  <si>
    <t>一</t>
    <phoneticPr fontId="1" type="noConversion"/>
  </si>
  <si>
    <t>二</t>
    <phoneticPr fontId="1" type="noConversion"/>
  </si>
  <si>
    <t>四</t>
    <phoneticPr fontId="1" type="noConversion"/>
  </si>
  <si>
    <t>五</t>
    <phoneticPr fontId="1" type="noConversion"/>
  </si>
  <si>
    <t>六</t>
    <phoneticPr fontId="1" type="noConversion"/>
  </si>
  <si>
    <t>日</t>
    <phoneticPr fontId="1" type="noConversion"/>
  </si>
  <si>
    <t>三</t>
    <phoneticPr fontId="1" type="noConversion"/>
  </si>
  <si>
    <t>1/1</t>
    <phoneticPr fontId="1" type="noConversion"/>
  </si>
  <si>
    <t>P101</t>
    <phoneticPr fontId="1" type="noConversion"/>
  </si>
  <si>
    <t>CO(hr)</t>
    <phoneticPr fontId="1" type="noConversion"/>
  </si>
  <si>
    <t>HCL</t>
    <phoneticPr fontId="1" type="noConversion"/>
  </si>
  <si>
    <t>P101</t>
    <phoneticPr fontId="1" type="noConversion"/>
  </si>
  <si>
    <t>P101</t>
    <phoneticPr fontId="1" type="noConversion"/>
  </si>
  <si>
    <t>P201</t>
    <phoneticPr fontId="1" type="noConversion"/>
  </si>
  <si>
    <t>P101</t>
    <phoneticPr fontId="1" type="noConversion"/>
  </si>
  <si>
    <t>P201</t>
    <phoneticPr fontId="1" type="noConversion"/>
  </si>
  <si>
    <t>P101</t>
    <phoneticPr fontId="1" type="noConversion"/>
  </si>
  <si>
    <t>P201</t>
    <phoneticPr fontId="1" type="noConversion"/>
  </si>
  <si>
    <t>P101</t>
    <phoneticPr fontId="1" type="noConversion"/>
  </si>
  <si>
    <t>P201</t>
    <phoneticPr fontId="1" type="noConversion"/>
  </si>
  <si>
    <t>P201</t>
    <phoneticPr fontId="1" type="noConversion"/>
  </si>
  <si>
    <t>09:00</t>
  </si>
  <si>
    <t>19:00</t>
  </si>
  <si>
    <t>11:00</t>
  </si>
  <si>
    <t>14:00</t>
  </si>
  <si>
    <t>10:00</t>
  </si>
  <si>
    <t>P101</t>
    <phoneticPr fontId="1" type="noConversion"/>
  </si>
  <si>
    <t>P201</t>
    <phoneticPr fontId="1" type="noConversion"/>
  </si>
  <si>
    <t>P201</t>
    <phoneticPr fontId="1" type="noConversion"/>
  </si>
  <si>
    <t>P201</t>
    <phoneticPr fontId="1" type="noConversion"/>
  </si>
  <si>
    <t>P101</t>
    <phoneticPr fontId="1" type="noConversion"/>
  </si>
  <si>
    <t>P201</t>
    <phoneticPr fontId="1" type="noConversion"/>
  </si>
  <si>
    <t>P101</t>
    <phoneticPr fontId="1" type="noConversion"/>
  </si>
  <si>
    <t>P201</t>
    <phoneticPr fontId="1" type="noConversion"/>
  </si>
  <si>
    <t>P201</t>
    <phoneticPr fontId="1" type="noConversion"/>
  </si>
  <si>
    <t>P101</t>
    <phoneticPr fontId="1" type="noConversion"/>
  </si>
  <si>
    <t>P101</t>
    <phoneticPr fontId="1" type="noConversion"/>
  </si>
  <si>
    <t>P101</t>
    <phoneticPr fontId="1" type="noConversion"/>
  </si>
  <si>
    <t>P201</t>
    <phoneticPr fontId="1" type="noConversion"/>
  </si>
  <si>
    <t>P201</t>
    <phoneticPr fontId="1" type="noConversion"/>
  </si>
  <si>
    <t>2/1</t>
    <phoneticPr fontId="1" type="noConversion"/>
  </si>
  <si>
    <t>2/2</t>
  </si>
  <si>
    <t>2/3</t>
  </si>
  <si>
    <t>2/4</t>
  </si>
  <si>
    <t>2/5</t>
  </si>
  <si>
    <t>2/6</t>
  </si>
  <si>
    <t>2/7</t>
  </si>
  <si>
    <t>2/8</t>
  </si>
  <si>
    <t>2/9</t>
  </si>
  <si>
    <t>2/10</t>
  </si>
  <si>
    <t>2/11</t>
  </si>
  <si>
    <t>2/12</t>
  </si>
  <si>
    <t>2/13</t>
  </si>
  <si>
    <t>2/14</t>
  </si>
  <si>
    <t>2/15</t>
  </si>
  <si>
    <t>2/16</t>
  </si>
  <si>
    <t>2/17</t>
  </si>
  <si>
    <t>2/18</t>
  </si>
  <si>
    <t>2/19</t>
  </si>
  <si>
    <t>2/20</t>
  </si>
  <si>
    <t>2/21</t>
  </si>
  <si>
    <t>2/22</t>
  </si>
  <si>
    <t>2/23</t>
  </si>
  <si>
    <t>2/24</t>
  </si>
  <si>
    <t>2/25</t>
  </si>
  <si>
    <t>2/26</t>
  </si>
  <si>
    <t>2/27</t>
  </si>
  <si>
    <t>2/28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</si>
</sst>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23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8"/>
      <name val="標楷體"/>
      <family val="4"/>
      <charset val="136"/>
    </font>
    <font>
      <sz val="8"/>
      <color theme="1"/>
      <name val="標楷體"/>
      <family val="4"/>
      <charset val="136"/>
    </font>
    <font>
      <sz val="8"/>
      <name val="微軟正黑體"/>
      <family val="2"/>
      <charset val="136"/>
    </font>
    <font>
      <sz val="12"/>
      <color theme="1"/>
      <name val="Times New Roman"/>
      <family val="1"/>
    </font>
    <font>
      <sz val="8"/>
      <name val="Times New Roman"/>
      <family val="4"/>
      <charset val="136"/>
    </font>
    <font>
      <sz val="8"/>
      <name val="Times New Roman"/>
      <family val="1"/>
    </font>
    <font>
      <b/>
      <sz val="8"/>
      <name val="Times New Roman"/>
      <family val="1"/>
    </font>
    <font>
      <sz val="9"/>
      <name val="新細明體"/>
      <family val="1"/>
      <charset val="136"/>
    </font>
    <font>
      <sz val="8"/>
      <color rgb="FF000000"/>
      <name val="標楷體"/>
      <family val="1"/>
      <charset val="136"/>
    </font>
    <font>
      <sz val="8"/>
      <color rgb="FF000000"/>
      <name val="Times New Roman"/>
      <family val="1"/>
    </font>
    <font>
      <sz val="8"/>
      <color rgb="FF000000"/>
      <name val="標楷體"/>
      <family val="4"/>
      <charset val="136"/>
    </font>
    <font>
      <sz val="11"/>
      <name val="微軟正黑體"/>
      <family val="2"/>
      <charset val="136"/>
    </font>
    <font>
      <sz val="8"/>
      <color theme="1"/>
      <name val="Times New Roman"/>
      <family val="1"/>
    </font>
    <font>
      <sz val="12"/>
      <name val="新細明體"/>
      <family val="1"/>
      <charset val="136"/>
      <scheme val="minor"/>
    </font>
    <font>
      <sz val="12"/>
      <color rgb="FFFF0000"/>
      <name val="新細明體"/>
      <family val="1"/>
      <charset val="136"/>
      <scheme val="minor"/>
    </font>
    <font>
      <sz val="8"/>
      <color rgb="FF000000"/>
      <name val="新細明體"/>
      <family val="1"/>
      <charset val="136"/>
    </font>
    <font>
      <sz val="12"/>
      <color theme="1"/>
      <name val="微軟正黑體"/>
      <family val="2"/>
      <charset val="136"/>
    </font>
    <font>
      <sz val="10"/>
      <name val="Arial"/>
      <family val="2"/>
    </font>
    <font>
      <sz val="12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color indexed="8"/>
      <name val="新細明體"/>
      <family val="1"/>
      <charset val="136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</fills>
  <borders count="5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double">
        <color indexed="64"/>
      </left>
      <right style="medium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auto="1"/>
      </right>
      <top style="thin">
        <color auto="1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medium">
        <color indexed="64"/>
      </right>
      <top/>
      <bottom style="thin">
        <color auto="1"/>
      </bottom>
      <diagonal/>
    </border>
    <border>
      <left style="double">
        <color indexed="64"/>
      </left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19" fillId="0" borderId="0"/>
  </cellStyleXfs>
  <cellXfs count="129">
    <xf numFmtId="0" fontId="0" fillId="0" borderId="0" xfId="0">
      <alignment vertical="center"/>
    </xf>
    <xf numFmtId="49" fontId="3" fillId="0" borderId="3" xfId="0" applyNumberFormat="1" applyFont="1" applyBorder="1" applyAlignment="1">
      <alignment horizontal="center" vertical="center"/>
    </xf>
    <xf numFmtId="49" fontId="2" fillId="0" borderId="7" xfId="0" applyNumberFormat="1" applyFont="1" applyBorder="1" applyAlignment="1" applyProtection="1">
      <alignment horizontal="center" vertical="center"/>
      <protection locked="0"/>
    </xf>
    <xf numFmtId="0" fontId="4" fillId="0" borderId="9" xfId="0" applyFont="1" applyBorder="1">
      <alignment vertical="center"/>
    </xf>
    <xf numFmtId="49" fontId="5" fillId="0" borderId="0" xfId="0" applyNumberFormat="1" applyFont="1">
      <alignment vertical="center"/>
    </xf>
    <xf numFmtId="49" fontId="7" fillId="2" borderId="1" xfId="0" applyNumberFormat="1" applyFont="1" applyFill="1" applyBorder="1">
      <alignment vertical="center"/>
    </xf>
    <xf numFmtId="176" fontId="7" fillId="0" borderId="3" xfId="0" quotePrefix="1" applyNumberFormat="1" applyFont="1" applyBorder="1" applyAlignment="1">
      <alignment horizontal="center" vertical="center"/>
    </xf>
    <xf numFmtId="176" fontId="7" fillId="0" borderId="12" xfId="0" quotePrefix="1" applyNumberFormat="1" applyFont="1" applyBorder="1" applyAlignment="1">
      <alignment horizontal="center" vertical="center"/>
    </xf>
    <xf numFmtId="0" fontId="0" fillId="0" borderId="9" xfId="0" applyBorder="1">
      <alignment vertical="center"/>
    </xf>
    <xf numFmtId="49" fontId="7" fillId="2" borderId="15" xfId="0" applyNumberFormat="1" applyFont="1" applyFill="1" applyBorder="1">
      <alignment vertical="center"/>
    </xf>
    <xf numFmtId="176" fontId="7" fillId="0" borderId="16" xfId="0" quotePrefix="1" applyNumberFormat="1" applyFont="1" applyBorder="1" applyAlignment="1">
      <alignment horizontal="center" vertical="center"/>
    </xf>
    <xf numFmtId="49" fontId="7" fillId="2" borderId="19" xfId="0" applyNumberFormat="1" applyFont="1" applyFill="1" applyBorder="1">
      <alignment vertical="center"/>
    </xf>
    <xf numFmtId="176" fontId="7" fillId="0" borderId="20" xfId="0" quotePrefix="1" applyNumberFormat="1" applyFont="1" applyBorder="1" applyAlignment="1" applyProtection="1">
      <alignment horizontal="center" vertical="center"/>
      <protection locked="0"/>
    </xf>
    <xf numFmtId="176" fontId="7" fillId="0" borderId="21" xfId="0" quotePrefix="1" applyNumberFormat="1" applyFont="1" applyBorder="1" applyAlignment="1" applyProtection="1">
      <alignment horizontal="center" vertical="center"/>
      <protection locked="0"/>
    </xf>
    <xf numFmtId="49" fontId="7" fillId="2" borderId="22" xfId="0" applyNumberFormat="1" applyFont="1" applyFill="1" applyBorder="1">
      <alignment vertical="center"/>
    </xf>
    <xf numFmtId="176" fontId="7" fillId="0" borderId="23" xfId="0" quotePrefix="1" applyNumberFormat="1" applyFont="1" applyBorder="1" applyAlignment="1">
      <alignment horizontal="center" vertical="center"/>
    </xf>
    <xf numFmtId="176" fontId="7" fillId="0" borderId="24" xfId="0" quotePrefix="1" applyNumberFormat="1" applyFont="1" applyBorder="1" applyAlignment="1">
      <alignment horizontal="center" vertical="center"/>
    </xf>
    <xf numFmtId="49" fontId="7" fillId="2" borderId="5" xfId="0" applyNumberFormat="1" applyFont="1" applyFill="1" applyBorder="1">
      <alignment vertical="center"/>
    </xf>
    <xf numFmtId="176" fontId="7" fillId="0" borderId="27" xfId="0" quotePrefix="1" applyNumberFormat="1" applyFont="1" applyBorder="1" applyAlignment="1" applyProtection="1">
      <alignment horizontal="center" vertical="center"/>
      <protection locked="0"/>
    </xf>
    <xf numFmtId="176" fontId="7" fillId="0" borderId="28" xfId="0" quotePrefix="1" applyNumberFormat="1" applyFont="1" applyBorder="1" applyAlignment="1" applyProtection="1">
      <alignment horizontal="center" vertical="center"/>
      <protection locked="0"/>
    </xf>
    <xf numFmtId="176" fontId="7" fillId="0" borderId="3" xfId="0" quotePrefix="1" applyNumberFormat="1" applyFont="1" applyBorder="1" applyAlignment="1" applyProtection="1">
      <alignment horizontal="center" vertical="center"/>
      <protection locked="0"/>
    </xf>
    <xf numFmtId="176" fontId="7" fillId="0" borderId="12" xfId="0" quotePrefix="1" applyNumberFormat="1" applyFont="1" applyBorder="1" applyAlignment="1" applyProtection="1">
      <alignment horizontal="center" vertical="center"/>
      <protection locked="0"/>
    </xf>
    <xf numFmtId="176" fontId="7" fillId="0" borderId="23" xfId="0" quotePrefix="1" applyNumberFormat="1" applyFont="1" applyBorder="1" applyAlignment="1" applyProtection="1">
      <alignment horizontal="center" vertical="center"/>
      <protection locked="0"/>
    </xf>
    <xf numFmtId="176" fontId="7" fillId="0" borderId="24" xfId="0" quotePrefix="1" applyNumberFormat="1" applyFont="1" applyBorder="1" applyAlignment="1" applyProtection="1">
      <alignment horizontal="center" vertical="center"/>
      <protection locked="0"/>
    </xf>
    <xf numFmtId="0" fontId="2" fillId="0" borderId="33" xfId="0" applyFont="1" applyBorder="1" applyAlignment="1"/>
    <xf numFmtId="0" fontId="10" fillId="0" borderId="33" xfId="0" applyFont="1" applyBorder="1">
      <alignment vertical="center"/>
    </xf>
    <xf numFmtId="0" fontId="4" fillId="0" borderId="33" xfId="0" applyFont="1" applyBorder="1" applyAlignment="1"/>
    <xf numFmtId="0" fontId="12" fillId="0" borderId="33" xfId="0" applyFont="1" applyBorder="1">
      <alignment vertical="center"/>
    </xf>
    <xf numFmtId="0" fontId="4" fillId="0" borderId="0" xfId="0" applyFont="1" applyAlignment="1"/>
    <xf numFmtId="0" fontId="11" fillId="0" borderId="0" xfId="0" applyFont="1">
      <alignment vertical="center"/>
    </xf>
    <xf numFmtId="0" fontId="4" fillId="0" borderId="40" xfId="0" applyFont="1" applyBorder="1" applyAlignment="1"/>
    <xf numFmtId="0" fontId="11" fillId="0" borderId="40" xfId="0" applyFont="1" applyBorder="1">
      <alignment vertical="center"/>
    </xf>
    <xf numFmtId="22" fontId="0" fillId="0" borderId="0" xfId="0" applyNumberFormat="1">
      <alignment vertical="center"/>
    </xf>
    <xf numFmtId="0" fontId="15" fillId="0" borderId="0" xfId="0" applyFont="1">
      <alignment vertical="center"/>
    </xf>
    <xf numFmtId="0" fontId="16" fillId="0" borderId="0" xfId="0" applyFont="1">
      <alignment vertical="center"/>
    </xf>
    <xf numFmtId="176" fontId="8" fillId="0" borderId="30" xfId="0" applyNumberFormat="1" applyFont="1" applyBorder="1" applyAlignment="1">
      <alignment horizontal="center" vertical="center"/>
    </xf>
    <xf numFmtId="176" fontId="8" fillId="0" borderId="32" xfId="0" applyNumberFormat="1" applyFont="1" applyBorder="1" applyAlignment="1">
      <alignment horizontal="center" vertical="center"/>
    </xf>
    <xf numFmtId="176" fontId="8" fillId="0" borderId="43" xfId="0" applyNumberFormat="1" applyFont="1" applyBorder="1" applyAlignment="1">
      <alignment horizontal="center" vertical="center"/>
    </xf>
    <xf numFmtId="176" fontId="8" fillId="0" borderId="44" xfId="0" applyNumberFormat="1" applyFont="1" applyBorder="1" applyAlignment="1">
      <alignment horizontal="center" vertical="center"/>
    </xf>
    <xf numFmtId="176" fontId="8" fillId="0" borderId="45" xfId="0" applyNumberFormat="1" applyFont="1" applyBorder="1" applyAlignment="1">
      <alignment horizontal="center" vertical="center"/>
    </xf>
    <xf numFmtId="176" fontId="8" fillId="0" borderId="8" xfId="0" applyNumberFormat="1" applyFont="1" applyBorder="1" applyAlignment="1">
      <alignment horizontal="center" vertical="center"/>
    </xf>
    <xf numFmtId="0" fontId="18" fillId="0" borderId="46" xfId="0" applyFont="1" applyBorder="1" applyAlignment="1">
      <alignment horizontal="center" vertical="center"/>
    </xf>
    <xf numFmtId="49" fontId="18" fillId="0" borderId="46" xfId="0" applyNumberFormat="1" applyFont="1" applyBorder="1" applyAlignment="1">
      <alignment horizontal="center" vertical="center"/>
    </xf>
    <xf numFmtId="49" fontId="18" fillId="3" borderId="46" xfId="0" applyNumberFormat="1" applyFont="1" applyFill="1" applyBorder="1" applyAlignment="1">
      <alignment horizontal="center" vertical="center"/>
    </xf>
    <xf numFmtId="0" fontId="18" fillId="0" borderId="46" xfId="0" applyFont="1" applyBorder="1">
      <alignment vertical="center"/>
    </xf>
    <xf numFmtId="0" fontId="18" fillId="3" borderId="46" xfId="0" applyFont="1" applyFill="1" applyBorder="1">
      <alignment vertical="center"/>
    </xf>
    <xf numFmtId="49" fontId="18" fillId="0" borderId="46" xfId="0" applyNumberFormat="1" applyFont="1" applyBorder="1">
      <alignment vertical="center"/>
    </xf>
    <xf numFmtId="49" fontId="18" fillId="3" borderId="46" xfId="0" applyNumberFormat="1" applyFont="1" applyFill="1" applyBorder="1">
      <alignment vertical="center"/>
    </xf>
    <xf numFmtId="0" fontId="18" fillId="3" borderId="46" xfId="0" applyFont="1" applyFill="1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18" fillId="3" borderId="46" xfId="0" applyFont="1" applyFill="1" applyBorder="1" applyAlignment="1">
      <alignment horizontal="right" vertical="center"/>
    </xf>
    <xf numFmtId="0" fontId="18" fillId="0" borderId="46" xfId="0" applyFont="1" applyBorder="1" applyAlignment="1">
      <alignment horizontal="right" vertical="center"/>
    </xf>
    <xf numFmtId="0" fontId="18" fillId="4" borderId="46" xfId="0" applyFont="1" applyFill="1" applyBorder="1">
      <alignment vertical="center"/>
    </xf>
    <xf numFmtId="176" fontId="7" fillId="0" borderId="2" xfId="0" quotePrefix="1" applyNumberFormat="1" applyFont="1" applyBorder="1" applyAlignment="1">
      <alignment horizontal="center" vertical="center"/>
    </xf>
    <xf numFmtId="176" fontId="7" fillId="0" borderId="48" xfId="0" quotePrefix="1" applyNumberFormat="1" applyFont="1" applyBorder="1" applyAlignment="1">
      <alignment horizontal="center" vertical="center"/>
    </xf>
    <xf numFmtId="176" fontId="7" fillId="0" borderId="49" xfId="0" quotePrefix="1" applyNumberFormat="1" applyFont="1" applyBorder="1" applyAlignment="1" applyProtection="1">
      <alignment horizontal="center" vertical="center"/>
      <protection locked="0"/>
    </xf>
    <xf numFmtId="176" fontId="7" fillId="0" borderId="6" xfId="0" quotePrefix="1" applyNumberFormat="1" applyFont="1" applyBorder="1" applyAlignment="1" applyProtection="1">
      <alignment horizontal="center" vertical="center"/>
      <protection locked="0"/>
    </xf>
    <xf numFmtId="176" fontId="7" fillId="0" borderId="2" xfId="0" quotePrefix="1" applyNumberFormat="1" applyFont="1" applyBorder="1" applyAlignment="1" applyProtection="1">
      <alignment horizontal="center" vertical="center"/>
      <protection locked="0"/>
    </xf>
    <xf numFmtId="176" fontId="7" fillId="0" borderId="40" xfId="0" quotePrefix="1" applyNumberFormat="1" applyFont="1" applyBorder="1" applyAlignment="1" applyProtection="1">
      <alignment horizontal="center" vertical="center"/>
      <protection locked="0"/>
    </xf>
    <xf numFmtId="176" fontId="7" fillId="0" borderId="50" xfId="0" quotePrefix="1" applyNumberFormat="1" applyFont="1" applyBorder="1" applyAlignment="1" applyProtection="1">
      <alignment horizontal="center" vertical="center"/>
      <protection locked="0"/>
    </xf>
    <xf numFmtId="0" fontId="20" fillId="0" borderId="46" xfId="0" applyFont="1" applyBorder="1" applyAlignment="1">
      <alignment horizontal="right" vertical="center"/>
    </xf>
    <xf numFmtId="176" fontId="7" fillId="0" borderId="47" xfId="0" quotePrefix="1" applyNumberFormat="1" applyFont="1" applyBorder="1" applyAlignment="1">
      <alignment horizontal="center" vertical="center"/>
    </xf>
    <xf numFmtId="20" fontId="0" fillId="0" borderId="47" xfId="0" applyNumberFormat="1" applyBorder="1" applyAlignment="1">
      <alignment horizontal="center" vertical="center"/>
    </xf>
    <xf numFmtId="0" fontId="21" fillId="0" borderId="47" xfId="0" applyFont="1" applyBorder="1" applyAlignment="1">
      <alignment horizontal="center" vertical="center"/>
    </xf>
    <xf numFmtId="20" fontId="21" fillId="0" borderId="47" xfId="0" applyNumberFormat="1" applyFont="1" applyBorder="1" applyAlignment="1">
      <alignment horizontal="center" vertical="center"/>
    </xf>
    <xf numFmtId="0" fontId="21" fillId="0" borderId="53" xfId="0" applyFont="1" applyBorder="1" applyAlignment="1">
      <alignment horizontal="center" vertical="center"/>
    </xf>
    <xf numFmtId="0" fontId="22" fillId="0" borderId="53" xfId="0" applyFont="1" applyBorder="1" applyAlignment="1">
      <alignment horizontal="center" vertical="center" wrapText="1"/>
    </xf>
    <xf numFmtId="0" fontId="0" fillId="0" borderId="53" xfId="0" applyBorder="1" applyAlignment="1">
      <alignment horizontal="center" vertical="center"/>
    </xf>
    <xf numFmtId="0" fontId="21" fillId="0" borderId="54" xfId="0" applyFont="1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20" fontId="0" fillId="0" borderId="54" xfId="0" applyNumberFormat="1" applyBorder="1" applyAlignment="1">
      <alignment horizontal="center" vertical="center"/>
    </xf>
    <xf numFmtId="20" fontId="0" fillId="0" borderId="54" xfId="0" applyNumberFormat="1" applyBorder="1">
      <alignment vertical="center"/>
    </xf>
    <xf numFmtId="49" fontId="2" fillId="0" borderId="4" xfId="0" applyNumberFormat="1" applyFont="1" applyBorder="1" applyAlignment="1">
      <alignment horizontal="center" vertical="center"/>
    </xf>
    <xf numFmtId="49" fontId="2" fillId="0" borderId="8" xfId="0" applyNumberFormat="1" applyFont="1" applyBorder="1" applyAlignment="1">
      <alignment horizontal="center" vertical="center"/>
    </xf>
    <xf numFmtId="0" fontId="18" fillId="0" borderId="17" xfId="0" applyFont="1" applyBorder="1" applyAlignment="1">
      <alignment horizontal="center" vertical="center"/>
    </xf>
    <xf numFmtId="0" fontId="18" fillId="0" borderId="16" xfId="0" applyFont="1" applyBorder="1" applyAlignment="1">
      <alignment horizontal="center" vertical="center"/>
    </xf>
    <xf numFmtId="49" fontId="6" fillId="0" borderId="10" xfId="0" applyNumberFormat="1" applyFont="1" applyBorder="1" applyAlignment="1">
      <alignment horizontal="center" vertical="center" wrapText="1"/>
    </xf>
    <xf numFmtId="49" fontId="7" fillId="0" borderId="13" xfId="0" applyNumberFormat="1" applyFont="1" applyBorder="1" applyAlignment="1">
      <alignment horizontal="center" vertical="center" wrapText="1"/>
    </xf>
    <xf numFmtId="49" fontId="7" fillId="0" borderId="25" xfId="0" applyNumberFormat="1" applyFont="1" applyBorder="1" applyAlignment="1">
      <alignment horizontal="center" vertical="center" wrapText="1"/>
    </xf>
    <xf numFmtId="49" fontId="7" fillId="0" borderId="11" xfId="0" applyNumberFormat="1" applyFont="1" applyBorder="1" applyAlignment="1">
      <alignment horizontal="center" vertical="center"/>
    </xf>
    <xf numFmtId="49" fontId="7" fillId="0" borderId="14" xfId="0" applyNumberFormat="1" applyFont="1" applyBorder="1" applyAlignment="1">
      <alignment horizontal="center" vertical="center"/>
    </xf>
    <xf numFmtId="49" fontId="7" fillId="0" borderId="18" xfId="0" applyNumberFormat="1" applyFont="1" applyBorder="1" applyAlignment="1">
      <alignment horizontal="center" vertical="center"/>
    </xf>
    <xf numFmtId="49" fontId="18" fillId="0" borderId="17" xfId="0" applyNumberFormat="1" applyFont="1" applyBorder="1" applyAlignment="1">
      <alignment horizontal="center" vertical="center"/>
    </xf>
    <xf numFmtId="49" fontId="18" fillId="0" borderId="16" xfId="0" applyNumberFormat="1" applyFont="1" applyBorder="1" applyAlignment="1">
      <alignment horizontal="center" vertical="center"/>
    </xf>
    <xf numFmtId="49" fontId="18" fillId="3" borderId="17" xfId="0" applyNumberFormat="1" applyFont="1" applyFill="1" applyBorder="1" applyAlignment="1">
      <alignment horizontal="center" vertical="center"/>
    </xf>
    <xf numFmtId="49" fontId="18" fillId="3" borderId="16" xfId="0" applyNumberFormat="1" applyFont="1" applyFill="1" applyBorder="1" applyAlignment="1">
      <alignment horizontal="center" vertical="center"/>
    </xf>
    <xf numFmtId="49" fontId="7" fillId="0" borderId="26" xfId="0" applyNumberFormat="1" applyFont="1" applyBorder="1" applyAlignment="1">
      <alignment horizontal="center" vertical="center"/>
    </xf>
    <xf numFmtId="0" fontId="18" fillId="0" borderId="52" xfId="0" applyFont="1" applyBorder="1" applyAlignment="1">
      <alignment horizontal="center" vertical="center"/>
    </xf>
    <xf numFmtId="0" fontId="18" fillId="0" borderId="24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2" fillId="0" borderId="5" xfId="0" applyNumberFormat="1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/>
    </xf>
    <xf numFmtId="49" fontId="3" fillId="0" borderId="6" xfId="0" applyNumberFormat="1" applyFont="1" applyBorder="1" applyAlignment="1">
      <alignment horizontal="center" vertical="center"/>
    </xf>
    <xf numFmtId="49" fontId="6" fillId="0" borderId="13" xfId="0" applyNumberFormat="1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4" fillId="0" borderId="26" xfId="0" applyFont="1" applyBorder="1" applyAlignment="1">
      <alignment horizontal="center"/>
    </xf>
    <xf numFmtId="49" fontId="3" fillId="0" borderId="34" xfId="0" applyNumberFormat="1" applyFont="1" applyBorder="1" applyAlignment="1">
      <alignment horizontal="center" vertical="center"/>
    </xf>
    <xf numFmtId="49" fontId="3" fillId="0" borderId="3" xfId="0" applyNumberFormat="1" applyFont="1" applyBorder="1" applyAlignment="1">
      <alignment horizontal="center" vertical="center"/>
    </xf>
    <xf numFmtId="49" fontId="3" fillId="0" borderId="12" xfId="0" applyNumberFormat="1" applyFont="1" applyBorder="1" applyAlignment="1">
      <alignment horizontal="center" vertical="center"/>
    </xf>
    <xf numFmtId="49" fontId="14" fillId="0" borderId="29" xfId="0" applyNumberFormat="1" applyFont="1" applyBorder="1" applyAlignment="1">
      <alignment horizontal="center" vertical="center"/>
    </xf>
    <xf numFmtId="49" fontId="14" fillId="0" borderId="27" xfId="0" applyNumberFormat="1" applyFont="1" applyBorder="1" applyAlignment="1">
      <alignment horizontal="center" vertical="center"/>
    </xf>
    <xf numFmtId="49" fontId="14" fillId="0" borderId="42" xfId="0" applyNumberFormat="1" applyFont="1" applyBorder="1" applyAlignment="1">
      <alignment horizontal="center" vertical="center"/>
    </xf>
    <xf numFmtId="49" fontId="3" fillId="0" borderId="35" xfId="0" applyNumberFormat="1" applyFont="1" applyBorder="1" applyAlignment="1">
      <alignment horizontal="center" vertical="center"/>
    </xf>
    <xf numFmtId="0" fontId="13" fillId="0" borderId="11" xfId="0" applyFont="1" applyBorder="1" applyAlignment="1">
      <alignment horizontal="left" vertical="top" wrapText="1"/>
    </xf>
    <xf numFmtId="0" fontId="13" fillId="0" borderId="33" xfId="0" applyFont="1" applyBorder="1" applyAlignment="1">
      <alignment horizontal="left" vertical="top" wrapText="1"/>
    </xf>
    <xf numFmtId="0" fontId="13" fillId="0" borderId="36" xfId="0" applyFont="1" applyBorder="1" applyAlignment="1">
      <alignment horizontal="left" vertical="top" wrapText="1"/>
    </xf>
    <xf numFmtId="0" fontId="13" fillId="0" borderId="14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 wrapText="1"/>
    </xf>
    <xf numFmtId="0" fontId="13" fillId="0" borderId="39" xfId="0" applyFont="1" applyBorder="1" applyAlignment="1">
      <alignment horizontal="left" vertical="top" wrapText="1"/>
    </xf>
    <xf numFmtId="0" fontId="13" fillId="0" borderId="26" xfId="0" applyFont="1" applyBorder="1" applyAlignment="1">
      <alignment horizontal="left" vertical="top" wrapText="1"/>
    </xf>
    <xf numFmtId="0" fontId="13" fillId="0" borderId="40" xfId="0" applyFont="1" applyBorder="1" applyAlignment="1">
      <alignment horizontal="left" vertical="top" wrapText="1"/>
    </xf>
    <xf numFmtId="0" fontId="13" fillId="0" borderId="31" xfId="0" applyFont="1" applyBorder="1" applyAlignment="1">
      <alignment horizontal="left" vertical="top" wrapText="1"/>
    </xf>
    <xf numFmtId="49" fontId="3" fillId="0" borderId="37" xfId="0" applyNumberFormat="1" applyFont="1" applyBorder="1" applyAlignment="1">
      <alignment horizontal="center" vertical="center"/>
    </xf>
    <xf numFmtId="49" fontId="3" fillId="0" borderId="9" xfId="0" applyNumberFormat="1" applyFont="1" applyBorder="1" applyAlignment="1">
      <alignment horizontal="center" vertical="center"/>
    </xf>
    <xf numFmtId="49" fontId="14" fillId="0" borderId="17" xfId="0" applyNumberFormat="1" applyFont="1" applyBorder="1" applyAlignment="1">
      <alignment horizontal="center" vertical="center"/>
    </xf>
    <xf numFmtId="49" fontId="14" fillId="0" borderId="16" xfId="0" applyNumberFormat="1" applyFont="1" applyBorder="1" applyAlignment="1">
      <alignment horizontal="center" vertical="center"/>
    </xf>
    <xf numFmtId="49" fontId="14" fillId="0" borderId="38" xfId="0" applyNumberFormat="1" applyFont="1" applyBorder="1" applyAlignment="1">
      <alignment horizontal="center" vertical="center"/>
    </xf>
    <xf numFmtId="49" fontId="3" fillId="0" borderId="41" xfId="0" applyNumberFormat="1" applyFont="1" applyBorder="1" applyAlignment="1">
      <alignment horizontal="center" vertical="center"/>
    </xf>
    <xf numFmtId="49" fontId="3" fillId="0" borderId="28" xfId="0" applyNumberFormat="1" applyFont="1" applyBorder="1" applyAlignment="1">
      <alignment horizontal="center" vertical="center"/>
    </xf>
    <xf numFmtId="0" fontId="18" fillId="0" borderId="51" xfId="0" applyFont="1" applyBorder="1" applyAlignment="1">
      <alignment horizontal="center" vertical="center"/>
    </xf>
    <xf numFmtId="49" fontId="18" fillId="0" borderId="51" xfId="0" applyNumberFormat="1" applyFont="1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20" fontId="0" fillId="0" borderId="0" xfId="0" applyNumberFormat="1" applyBorder="1" applyAlignment="1">
      <alignment horizontal="center" vertical="center"/>
    </xf>
    <xf numFmtId="0" fontId="21" fillId="0" borderId="0" xfId="0" applyFont="1" applyBorder="1" applyAlignment="1">
      <alignment horizontal="center" vertical="center"/>
    </xf>
    <xf numFmtId="20" fontId="21" fillId="0" borderId="0" xfId="0" applyNumberFormat="1" applyFont="1" applyBorder="1" applyAlignment="1">
      <alignment horizontal="center" vertical="center"/>
    </xf>
    <xf numFmtId="0" fontId="22" fillId="0" borderId="0" xfId="0" applyFont="1" applyBorder="1" applyAlignment="1">
      <alignment horizontal="center" vertical="center" wrapText="1"/>
    </xf>
    <xf numFmtId="20" fontId="0" fillId="0" borderId="0" xfId="0" applyNumberFormat="1" applyBorder="1">
      <alignment vertical="center"/>
    </xf>
  </cellXfs>
  <cellStyles count="2">
    <cellStyle name="一般" xfId="0" builtinId="0"/>
    <cellStyle name="一般 2" xfId="1" xr:uid="{889FB46A-8236-4C06-BE24-F6FF2490376C}"/>
  </cellStyles>
  <dxfs count="18">
    <dxf>
      <font>
        <color rgb="FFFF0000"/>
      </font>
    </dxf>
    <dxf>
      <font>
        <color rgb="FFFF0000"/>
      </font>
    </dxf>
    <dxf>
      <font>
        <color theme="9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FF0000"/>
      </font>
    </dxf>
    <dxf>
      <font>
        <color theme="9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vert="horz"/>
          <a:lstStyle/>
          <a:p>
            <a:pPr>
              <a:defRPr sz="1400">
                <a:latin typeface="Times New Roman" panose="02020603050405020304" pitchFamily="18" charset="0"/>
                <a:ea typeface="標楷體" panose="03000509000000000000" pitchFamily="65" charset="-120"/>
                <a:cs typeface="Times New Roman" panose="02020603050405020304" pitchFamily="18" charset="0"/>
              </a:defRPr>
            </a:pPr>
            <a:r>
              <a:rPr lang="en-US" sz="1400" b="0">
                <a:latin typeface="Times New Roman" panose="02020603050405020304" pitchFamily="18" charset="0"/>
                <a:ea typeface="標楷體" panose="03000509000000000000" pitchFamily="65" charset="-120"/>
                <a:cs typeface="Times New Roman" panose="02020603050405020304" pitchFamily="18" charset="0"/>
              </a:rPr>
              <a:t>NOx</a:t>
            </a:r>
            <a:r>
              <a:rPr lang="zh-TW" altLang="zh-TW" sz="1400" b="0" i="0" u="none" strike="noStrike" baseline="0">
                <a:effectLst/>
                <a:latin typeface="Times New Roman" panose="02020603050405020304" pitchFamily="18" charset="0"/>
                <a:ea typeface="標楷體" panose="03000509000000000000" pitchFamily="65" charset="-120"/>
                <a:cs typeface="Times New Roman" panose="02020603050405020304" pitchFamily="18" charset="0"/>
              </a:rPr>
              <a:t>每日平均值</a:t>
            </a:r>
            <a:r>
              <a:rPr lang="en-US" altLang="zh-TW" sz="1400" b="0" i="0" u="none" strike="noStrike" baseline="0">
                <a:effectLst/>
                <a:latin typeface="Times New Roman" panose="02020603050405020304" pitchFamily="18" charset="0"/>
                <a:ea typeface="標楷體" panose="03000509000000000000" pitchFamily="65" charset="-120"/>
                <a:cs typeface="Times New Roman" panose="02020603050405020304" pitchFamily="18" charset="0"/>
              </a:rPr>
              <a:t>(ppm)</a:t>
            </a:r>
            <a:endParaRPr lang="zh-TW" sz="1400">
              <a:latin typeface="Times New Roman" panose="02020603050405020304" pitchFamily="18" charset="0"/>
              <a:ea typeface="標楷體" panose="03000509000000000000" pitchFamily="65" charset="-12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2224847338219662"/>
          <c:y val="0.14226618710718927"/>
          <c:w val="0.85503136179658767"/>
          <c:h val="0.62671309968453093"/>
        </c:manualLayout>
      </c:layout>
      <c:lineChart>
        <c:grouping val="standard"/>
        <c:varyColors val="0"/>
        <c:ser>
          <c:idx val="0"/>
          <c:order val="0"/>
          <c:tx>
            <c:strRef>
              <c:f>'2月CEMS日監測'!$C$10</c:f>
              <c:strCache>
                <c:ptCount val="1"/>
                <c:pt idx="0">
                  <c:v>P101</c:v>
                </c:pt>
              </c:strCache>
            </c:strRef>
          </c:tx>
          <c:marker>
            <c:symbol val="none"/>
          </c:marker>
          <c:cat>
            <c:strRef>
              <c:f>'2月CEMS日監測'!$E$2:$AF$2</c:f>
              <c:strCache>
                <c:ptCount val="28"/>
                <c:pt idx="0">
                  <c:v>2/1</c:v>
                </c:pt>
                <c:pt idx="1">
                  <c:v>2/2</c:v>
                </c:pt>
                <c:pt idx="2">
                  <c:v>2/3</c:v>
                </c:pt>
                <c:pt idx="3">
                  <c:v>2/4</c:v>
                </c:pt>
                <c:pt idx="4">
                  <c:v>2/5</c:v>
                </c:pt>
                <c:pt idx="5">
                  <c:v>2/6</c:v>
                </c:pt>
                <c:pt idx="6">
                  <c:v>2/7</c:v>
                </c:pt>
                <c:pt idx="7">
                  <c:v>2/8</c:v>
                </c:pt>
                <c:pt idx="8">
                  <c:v>2/9</c:v>
                </c:pt>
                <c:pt idx="9">
                  <c:v>2/10</c:v>
                </c:pt>
                <c:pt idx="10">
                  <c:v>2/11</c:v>
                </c:pt>
                <c:pt idx="11">
                  <c:v>2/12</c:v>
                </c:pt>
                <c:pt idx="12">
                  <c:v>2/13</c:v>
                </c:pt>
                <c:pt idx="13">
                  <c:v>2/14</c:v>
                </c:pt>
                <c:pt idx="14">
                  <c:v>2/15</c:v>
                </c:pt>
                <c:pt idx="15">
                  <c:v>2/16</c:v>
                </c:pt>
                <c:pt idx="16">
                  <c:v>2/17</c:v>
                </c:pt>
                <c:pt idx="17">
                  <c:v>2/18</c:v>
                </c:pt>
                <c:pt idx="18">
                  <c:v>2/19</c:v>
                </c:pt>
                <c:pt idx="19">
                  <c:v>2/20</c:v>
                </c:pt>
                <c:pt idx="20">
                  <c:v>2/21</c:v>
                </c:pt>
                <c:pt idx="21">
                  <c:v>2/22</c:v>
                </c:pt>
                <c:pt idx="22">
                  <c:v>2/23</c:v>
                </c:pt>
                <c:pt idx="23">
                  <c:v>2/24</c:v>
                </c:pt>
                <c:pt idx="24">
                  <c:v>2/25</c:v>
                </c:pt>
                <c:pt idx="25">
                  <c:v>2/26</c:v>
                </c:pt>
                <c:pt idx="26">
                  <c:v>2/27</c:v>
                </c:pt>
                <c:pt idx="27">
                  <c:v>2/28</c:v>
                </c:pt>
              </c:strCache>
            </c:strRef>
          </c:cat>
          <c:val>
            <c:numRef>
              <c:f>'2月CEMS日監測'!$E$12:$AF$12</c:f>
              <c:numCache>
                <c:formatCode>0.00_);[Red]\(0.00\)</c:formatCode>
                <c:ptCount val="28"/>
                <c:pt idx="0">
                  <c:v>61.54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DEE-4AA1-9BF3-08B76DA1968F}"/>
            </c:ext>
          </c:extLst>
        </c:ser>
        <c:ser>
          <c:idx val="1"/>
          <c:order val="1"/>
          <c:tx>
            <c:strRef>
              <c:f>'2月CEMS日監測'!$C$13</c:f>
              <c:strCache>
                <c:ptCount val="1"/>
                <c:pt idx="0">
                  <c:v>P201</c:v>
                </c:pt>
              </c:strCache>
            </c:strRef>
          </c:tx>
          <c:marker>
            <c:symbol val="none"/>
          </c:marker>
          <c:cat>
            <c:strRef>
              <c:f>'2月CEMS日監測'!$E$2:$AF$2</c:f>
              <c:strCache>
                <c:ptCount val="28"/>
                <c:pt idx="0">
                  <c:v>2/1</c:v>
                </c:pt>
                <c:pt idx="1">
                  <c:v>2/2</c:v>
                </c:pt>
                <c:pt idx="2">
                  <c:v>2/3</c:v>
                </c:pt>
                <c:pt idx="3">
                  <c:v>2/4</c:v>
                </c:pt>
                <c:pt idx="4">
                  <c:v>2/5</c:v>
                </c:pt>
                <c:pt idx="5">
                  <c:v>2/6</c:v>
                </c:pt>
                <c:pt idx="6">
                  <c:v>2/7</c:v>
                </c:pt>
                <c:pt idx="7">
                  <c:v>2/8</c:v>
                </c:pt>
                <c:pt idx="8">
                  <c:v>2/9</c:v>
                </c:pt>
                <c:pt idx="9">
                  <c:v>2/10</c:v>
                </c:pt>
                <c:pt idx="10">
                  <c:v>2/11</c:v>
                </c:pt>
                <c:pt idx="11">
                  <c:v>2/12</c:v>
                </c:pt>
                <c:pt idx="12">
                  <c:v>2/13</c:v>
                </c:pt>
                <c:pt idx="13">
                  <c:v>2/14</c:v>
                </c:pt>
                <c:pt idx="14">
                  <c:v>2/15</c:v>
                </c:pt>
                <c:pt idx="15">
                  <c:v>2/16</c:v>
                </c:pt>
                <c:pt idx="16">
                  <c:v>2/17</c:v>
                </c:pt>
                <c:pt idx="17">
                  <c:v>2/18</c:v>
                </c:pt>
                <c:pt idx="18">
                  <c:v>2/19</c:v>
                </c:pt>
                <c:pt idx="19">
                  <c:v>2/20</c:v>
                </c:pt>
                <c:pt idx="20">
                  <c:v>2/21</c:v>
                </c:pt>
                <c:pt idx="21">
                  <c:v>2/22</c:v>
                </c:pt>
                <c:pt idx="22">
                  <c:v>2/23</c:v>
                </c:pt>
                <c:pt idx="23">
                  <c:v>2/24</c:v>
                </c:pt>
                <c:pt idx="24">
                  <c:v>2/25</c:v>
                </c:pt>
                <c:pt idx="25">
                  <c:v>2/26</c:v>
                </c:pt>
                <c:pt idx="26">
                  <c:v>2/27</c:v>
                </c:pt>
                <c:pt idx="27">
                  <c:v>2/28</c:v>
                </c:pt>
              </c:strCache>
            </c:strRef>
          </c:cat>
          <c:val>
            <c:numRef>
              <c:f>'2月CEMS日監測'!$E$15:$AF$15</c:f>
              <c:numCache>
                <c:formatCode>0.00_);[Red]\(0.00\)</c:formatCode>
                <c:ptCount val="28"/>
                <c:pt idx="0">
                  <c:v>51.73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DEE-4AA1-9BF3-08B76DA1968F}"/>
            </c:ext>
          </c:extLst>
        </c:ser>
        <c:ser>
          <c:idx val="3"/>
          <c:order val="2"/>
          <c:tx>
            <c:strRef>
              <c:f>'2月CEMS日監測'!$D$107</c:f>
              <c:strCache>
                <c:ptCount val="1"/>
                <c:pt idx="0">
                  <c:v>契約限值</c:v>
                </c:pt>
              </c:strCache>
            </c:strRef>
          </c:tx>
          <c:marker>
            <c:symbol val="none"/>
          </c:marker>
          <c:cat>
            <c:strRef>
              <c:f>'2月CEMS日監測'!$E$2:$AF$2</c:f>
              <c:strCache>
                <c:ptCount val="28"/>
                <c:pt idx="0">
                  <c:v>2/1</c:v>
                </c:pt>
                <c:pt idx="1">
                  <c:v>2/2</c:v>
                </c:pt>
                <c:pt idx="2">
                  <c:v>2/3</c:v>
                </c:pt>
                <c:pt idx="3">
                  <c:v>2/4</c:v>
                </c:pt>
                <c:pt idx="4">
                  <c:v>2/5</c:v>
                </c:pt>
                <c:pt idx="5">
                  <c:v>2/6</c:v>
                </c:pt>
                <c:pt idx="6">
                  <c:v>2/7</c:v>
                </c:pt>
                <c:pt idx="7">
                  <c:v>2/8</c:v>
                </c:pt>
                <c:pt idx="8">
                  <c:v>2/9</c:v>
                </c:pt>
                <c:pt idx="9">
                  <c:v>2/10</c:v>
                </c:pt>
                <c:pt idx="10">
                  <c:v>2/11</c:v>
                </c:pt>
                <c:pt idx="11">
                  <c:v>2/12</c:v>
                </c:pt>
                <c:pt idx="12">
                  <c:v>2/13</c:v>
                </c:pt>
                <c:pt idx="13">
                  <c:v>2/14</c:v>
                </c:pt>
                <c:pt idx="14">
                  <c:v>2/15</c:v>
                </c:pt>
                <c:pt idx="15">
                  <c:v>2/16</c:v>
                </c:pt>
                <c:pt idx="16">
                  <c:v>2/17</c:v>
                </c:pt>
                <c:pt idx="17">
                  <c:v>2/18</c:v>
                </c:pt>
                <c:pt idx="18">
                  <c:v>2/19</c:v>
                </c:pt>
                <c:pt idx="19">
                  <c:v>2/20</c:v>
                </c:pt>
                <c:pt idx="20">
                  <c:v>2/21</c:v>
                </c:pt>
                <c:pt idx="21">
                  <c:v>2/22</c:v>
                </c:pt>
                <c:pt idx="22">
                  <c:v>2/23</c:v>
                </c:pt>
                <c:pt idx="23">
                  <c:v>2/24</c:v>
                </c:pt>
                <c:pt idx="24">
                  <c:v>2/25</c:v>
                </c:pt>
                <c:pt idx="25">
                  <c:v>2/26</c:v>
                </c:pt>
                <c:pt idx="26">
                  <c:v>2/27</c:v>
                </c:pt>
                <c:pt idx="27">
                  <c:v>2/28</c:v>
                </c:pt>
              </c:strCache>
            </c:strRef>
          </c:cat>
          <c:val>
            <c:numRef>
              <c:f>'2月CEMS日監測'!$E$109:$AF$109</c:f>
              <c:numCache>
                <c:formatCode>General</c:formatCode>
                <c:ptCount val="28"/>
                <c:pt idx="0">
                  <c:v>70</c:v>
                </c:pt>
                <c:pt idx="1">
                  <c:v>70</c:v>
                </c:pt>
                <c:pt idx="2">
                  <c:v>70</c:v>
                </c:pt>
                <c:pt idx="3">
                  <c:v>70</c:v>
                </c:pt>
                <c:pt idx="4">
                  <c:v>70</c:v>
                </c:pt>
                <c:pt idx="5">
                  <c:v>70</c:v>
                </c:pt>
                <c:pt idx="6">
                  <c:v>70</c:v>
                </c:pt>
                <c:pt idx="7">
                  <c:v>70</c:v>
                </c:pt>
                <c:pt idx="8">
                  <c:v>70</c:v>
                </c:pt>
                <c:pt idx="9">
                  <c:v>70</c:v>
                </c:pt>
                <c:pt idx="10">
                  <c:v>70</c:v>
                </c:pt>
                <c:pt idx="11">
                  <c:v>70</c:v>
                </c:pt>
                <c:pt idx="12">
                  <c:v>70</c:v>
                </c:pt>
                <c:pt idx="13">
                  <c:v>70</c:v>
                </c:pt>
                <c:pt idx="14">
                  <c:v>70</c:v>
                </c:pt>
                <c:pt idx="15">
                  <c:v>70</c:v>
                </c:pt>
                <c:pt idx="16">
                  <c:v>70</c:v>
                </c:pt>
                <c:pt idx="17">
                  <c:v>70</c:v>
                </c:pt>
                <c:pt idx="18">
                  <c:v>70</c:v>
                </c:pt>
                <c:pt idx="19">
                  <c:v>70</c:v>
                </c:pt>
                <c:pt idx="20">
                  <c:v>70</c:v>
                </c:pt>
                <c:pt idx="21">
                  <c:v>70</c:v>
                </c:pt>
                <c:pt idx="22">
                  <c:v>70</c:v>
                </c:pt>
                <c:pt idx="23">
                  <c:v>70</c:v>
                </c:pt>
                <c:pt idx="24">
                  <c:v>70</c:v>
                </c:pt>
                <c:pt idx="25">
                  <c:v>70</c:v>
                </c:pt>
                <c:pt idx="26">
                  <c:v>70</c:v>
                </c:pt>
                <c:pt idx="27">
                  <c:v>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DEE-4AA1-9BF3-08B76DA196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59699616"/>
        <c:axId val="-59702880"/>
      </c:lineChart>
      <c:catAx>
        <c:axId val="-59699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/>
          <a:lstStyle/>
          <a:p>
            <a:pPr>
              <a:defRPr/>
            </a:pPr>
            <a:endParaRPr lang="zh-TW"/>
          </a:p>
        </c:txPr>
        <c:crossAx val="-59702880"/>
        <c:crosses val="autoZero"/>
        <c:auto val="1"/>
        <c:lblAlgn val="ctr"/>
        <c:lblOffset val="100"/>
        <c:noMultiLvlLbl val="0"/>
      </c:catAx>
      <c:valAx>
        <c:axId val="-59702880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vert="horz"/>
          <a:lstStyle/>
          <a:p>
            <a:pPr>
              <a:defRPr sz="11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endParaRPr lang="zh-TW"/>
          </a:p>
        </c:txPr>
        <c:crossAx val="-59699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vert="horz"/>
        <a:lstStyle/>
        <a:p>
          <a:pPr>
            <a:defRPr/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  <a:latin typeface="標楷體" panose="03000509000000000000" pitchFamily="65" charset="-120"/>
          <a:ea typeface="標楷體" panose="03000509000000000000" pitchFamily="65" charset="-120"/>
        </a:defRPr>
      </a:pPr>
      <a:endParaRPr lang="zh-TW"/>
    </a:p>
  </c:txPr>
  <c:printSettings>
    <c:headerFooter/>
    <c:pageMargins b="0.750000000000002" l="0.70000000000000062" r="0.70000000000000062" t="0.750000000000002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vert="horz"/>
          <a:lstStyle/>
          <a:p>
            <a:pPr>
              <a:defRPr sz="1400">
                <a:latin typeface="Times New Roman" panose="02020603050405020304" pitchFamily="18" charset="0"/>
                <a:ea typeface="標楷體" panose="03000509000000000000" pitchFamily="65" charset="-120"/>
                <a:cs typeface="Times New Roman" panose="02020603050405020304" pitchFamily="18" charset="0"/>
              </a:defRPr>
            </a:pPr>
            <a:r>
              <a:rPr lang="en-US" sz="1400" b="0">
                <a:latin typeface="Times New Roman" panose="02020603050405020304" pitchFamily="18" charset="0"/>
                <a:ea typeface="標楷體" panose="03000509000000000000" pitchFamily="65" charset="-120"/>
                <a:cs typeface="Times New Roman" panose="02020603050405020304" pitchFamily="18" charset="0"/>
              </a:rPr>
              <a:t>CO</a:t>
            </a:r>
            <a:r>
              <a:rPr lang="zh-TW" altLang="zh-TW" sz="1400" b="0" i="0" u="none" strike="noStrike" baseline="0">
                <a:effectLst/>
                <a:latin typeface="Times New Roman" panose="02020603050405020304" pitchFamily="18" charset="0"/>
                <a:ea typeface="標楷體" panose="03000509000000000000" pitchFamily="65" charset="-120"/>
                <a:cs typeface="Times New Roman" panose="02020603050405020304" pitchFamily="18" charset="0"/>
              </a:rPr>
              <a:t>每日平均值</a:t>
            </a:r>
            <a:r>
              <a:rPr lang="en-US" altLang="zh-TW" sz="1400" b="0" i="0" u="none" strike="noStrike" baseline="0">
                <a:effectLst/>
                <a:latin typeface="Times New Roman" panose="02020603050405020304" pitchFamily="18" charset="0"/>
                <a:ea typeface="標楷體" panose="03000509000000000000" pitchFamily="65" charset="-120"/>
                <a:cs typeface="Times New Roman" panose="02020603050405020304" pitchFamily="18" charset="0"/>
              </a:rPr>
              <a:t>(ppm)</a:t>
            </a:r>
            <a:endParaRPr lang="zh-TW" sz="1400">
              <a:latin typeface="Times New Roman" panose="02020603050405020304" pitchFamily="18" charset="0"/>
              <a:ea typeface="標楷體" panose="03000509000000000000" pitchFamily="65" charset="-120"/>
              <a:cs typeface="Times New Roman" panose="02020603050405020304" pitchFamily="18" charset="0"/>
            </a:endParaRPr>
          </a:p>
        </c:rich>
      </c:tx>
      <c:layout>
        <c:manualLayout>
          <c:xMode val="edge"/>
          <c:yMode val="edge"/>
          <c:x val="0.35552306397306399"/>
          <c:y val="9.4203516684036211E-3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3342967446786749"/>
          <c:y val="0.15351018015951903"/>
          <c:w val="0.83318079678937473"/>
          <c:h val="0.60666955465518402"/>
        </c:manualLayout>
      </c:layout>
      <c:lineChart>
        <c:grouping val="standard"/>
        <c:varyColors val="0"/>
        <c:ser>
          <c:idx val="0"/>
          <c:order val="0"/>
          <c:tx>
            <c:strRef>
              <c:f>'2月CEMS日監測'!$C$16</c:f>
              <c:strCache>
                <c:ptCount val="1"/>
                <c:pt idx="0">
                  <c:v>P101</c:v>
                </c:pt>
              </c:strCache>
            </c:strRef>
          </c:tx>
          <c:marker>
            <c:symbol val="none"/>
          </c:marker>
          <c:cat>
            <c:strRef>
              <c:f>'2月CEMS日監測'!$E$2:$AF$2</c:f>
              <c:strCache>
                <c:ptCount val="28"/>
                <c:pt idx="0">
                  <c:v>2/1</c:v>
                </c:pt>
                <c:pt idx="1">
                  <c:v>2/2</c:v>
                </c:pt>
                <c:pt idx="2">
                  <c:v>2/3</c:v>
                </c:pt>
                <c:pt idx="3">
                  <c:v>2/4</c:v>
                </c:pt>
                <c:pt idx="4">
                  <c:v>2/5</c:v>
                </c:pt>
                <c:pt idx="5">
                  <c:v>2/6</c:v>
                </c:pt>
                <c:pt idx="6">
                  <c:v>2/7</c:v>
                </c:pt>
                <c:pt idx="7">
                  <c:v>2/8</c:v>
                </c:pt>
                <c:pt idx="8">
                  <c:v>2/9</c:v>
                </c:pt>
                <c:pt idx="9">
                  <c:v>2/10</c:v>
                </c:pt>
                <c:pt idx="10">
                  <c:v>2/11</c:v>
                </c:pt>
                <c:pt idx="11">
                  <c:v>2/12</c:v>
                </c:pt>
                <c:pt idx="12">
                  <c:v>2/13</c:v>
                </c:pt>
                <c:pt idx="13">
                  <c:v>2/14</c:v>
                </c:pt>
                <c:pt idx="14">
                  <c:v>2/15</c:v>
                </c:pt>
                <c:pt idx="15">
                  <c:v>2/16</c:v>
                </c:pt>
                <c:pt idx="16">
                  <c:v>2/17</c:v>
                </c:pt>
                <c:pt idx="17">
                  <c:v>2/18</c:v>
                </c:pt>
                <c:pt idx="18">
                  <c:v>2/19</c:v>
                </c:pt>
                <c:pt idx="19">
                  <c:v>2/20</c:v>
                </c:pt>
                <c:pt idx="20">
                  <c:v>2/21</c:v>
                </c:pt>
                <c:pt idx="21">
                  <c:v>2/22</c:v>
                </c:pt>
                <c:pt idx="22">
                  <c:v>2/23</c:v>
                </c:pt>
                <c:pt idx="23">
                  <c:v>2/24</c:v>
                </c:pt>
                <c:pt idx="24">
                  <c:v>2/25</c:v>
                </c:pt>
                <c:pt idx="25">
                  <c:v>2/26</c:v>
                </c:pt>
                <c:pt idx="26">
                  <c:v>2/27</c:v>
                </c:pt>
                <c:pt idx="27">
                  <c:v>2/28</c:v>
                </c:pt>
              </c:strCache>
            </c:strRef>
          </c:cat>
          <c:val>
            <c:numRef>
              <c:f>'2月CEMS日監測'!$E$18:$AF$18</c:f>
              <c:numCache>
                <c:formatCode>0.00_);[Red]\(0.00\)</c:formatCode>
                <c:ptCount val="28"/>
                <c:pt idx="0">
                  <c:v>17.149999999999999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034-4DD4-8FC6-F3FBFCB0DC41}"/>
            </c:ext>
          </c:extLst>
        </c:ser>
        <c:ser>
          <c:idx val="1"/>
          <c:order val="1"/>
          <c:tx>
            <c:strRef>
              <c:f>'2月CEMS日監測'!$C$19</c:f>
              <c:strCache>
                <c:ptCount val="1"/>
                <c:pt idx="0">
                  <c:v>P201</c:v>
                </c:pt>
              </c:strCache>
            </c:strRef>
          </c:tx>
          <c:marker>
            <c:symbol val="none"/>
          </c:marker>
          <c:cat>
            <c:strRef>
              <c:f>'2月CEMS日監測'!$E$2:$AF$2</c:f>
              <c:strCache>
                <c:ptCount val="28"/>
                <c:pt idx="0">
                  <c:v>2/1</c:v>
                </c:pt>
                <c:pt idx="1">
                  <c:v>2/2</c:v>
                </c:pt>
                <c:pt idx="2">
                  <c:v>2/3</c:v>
                </c:pt>
                <c:pt idx="3">
                  <c:v>2/4</c:v>
                </c:pt>
                <c:pt idx="4">
                  <c:v>2/5</c:v>
                </c:pt>
                <c:pt idx="5">
                  <c:v>2/6</c:v>
                </c:pt>
                <c:pt idx="6">
                  <c:v>2/7</c:v>
                </c:pt>
                <c:pt idx="7">
                  <c:v>2/8</c:v>
                </c:pt>
                <c:pt idx="8">
                  <c:v>2/9</c:v>
                </c:pt>
                <c:pt idx="9">
                  <c:v>2/10</c:v>
                </c:pt>
                <c:pt idx="10">
                  <c:v>2/11</c:v>
                </c:pt>
                <c:pt idx="11">
                  <c:v>2/12</c:v>
                </c:pt>
                <c:pt idx="12">
                  <c:v>2/13</c:v>
                </c:pt>
                <c:pt idx="13">
                  <c:v>2/14</c:v>
                </c:pt>
                <c:pt idx="14">
                  <c:v>2/15</c:v>
                </c:pt>
                <c:pt idx="15">
                  <c:v>2/16</c:v>
                </c:pt>
                <c:pt idx="16">
                  <c:v>2/17</c:v>
                </c:pt>
                <c:pt idx="17">
                  <c:v>2/18</c:v>
                </c:pt>
                <c:pt idx="18">
                  <c:v>2/19</c:v>
                </c:pt>
                <c:pt idx="19">
                  <c:v>2/20</c:v>
                </c:pt>
                <c:pt idx="20">
                  <c:v>2/21</c:v>
                </c:pt>
                <c:pt idx="21">
                  <c:v>2/22</c:v>
                </c:pt>
                <c:pt idx="22">
                  <c:v>2/23</c:v>
                </c:pt>
                <c:pt idx="23">
                  <c:v>2/24</c:v>
                </c:pt>
                <c:pt idx="24">
                  <c:v>2/25</c:v>
                </c:pt>
                <c:pt idx="25">
                  <c:v>2/26</c:v>
                </c:pt>
                <c:pt idx="26">
                  <c:v>2/27</c:v>
                </c:pt>
                <c:pt idx="27">
                  <c:v>2/28</c:v>
                </c:pt>
              </c:strCache>
            </c:strRef>
          </c:cat>
          <c:val>
            <c:numRef>
              <c:f>'2月CEMS日監測'!$E$21:$AF$21</c:f>
              <c:numCache>
                <c:formatCode>0.00_);[Red]\(0.00\)</c:formatCode>
                <c:ptCount val="28"/>
                <c:pt idx="0">
                  <c:v>22.6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034-4DD4-8FC6-F3FBFCB0DC41}"/>
            </c:ext>
          </c:extLst>
        </c:ser>
        <c:ser>
          <c:idx val="3"/>
          <c:order val="2"/>
          <c:tx>
            <c:strRef>
              <c:f>'2月CEMS日監測'!$D$107</c:f>
              <c:strCache>
                <c:ptCount val="1"/>
                <c:pt idx="0">
                  <c:v>契約限值</c:v>
                </c:pt>
              </c:strCache>
            </c:strRef>
          </c:tx>
          <c:marker>
            <c:symbol val="none"/>
          </c:marker>
          <c:cat>
            <c:strRef>
              <c:f>'2月CEMS日監測'!$E$2:$AF$2</c:f>
              <c:strCache>
                <c:ptCount val="28"/>
                <c:pt idx="0">
                  <c:v>2/1</c:v>
                </c:pt>
                <c:pt idx="1">
                  <c:v>2/2</c:v>
                </c:pt>
                <c:pt idx="2">
                  <c:v>2/3</c:v>
                </c:pt>
                <c:pt idx="3">
                  <c:v>2/4</c:v>
                </c:pt>
                <c:pt idx="4">
                  <c:v>2/5</c:v>
                </c:pt>
                <c:pt idx="5">
                  <c:v>2/6</c:v>
                </c:pt>
                <c:pt idx="6">
                  <c:v>2/7</c:v>
                </c:pt>
                <c:pt idx="7">
                  <c:v>2/8</c:v>
                </c:pt>
                <c:pt idx="8">
                  <c:v>2/9</c:v>
                </c:pt>
                <c:pt idx="9">
                  <c:v>2/10</c:v>
                </c:pt>
                <c:pt idx="10">
                  <c:v>2/11</c:v>
                </c:pt>
                <c:pt idx="11">
                  <c:v>2/12</c:v>
                </c:pt>
                <c:pt idx="12">
                  <c:v>2/13</c:v>
                </c:pt>
                <c:pt idx="13">
                  <c:v>2/14</c:v>
                </c:pt>
                <c:pt idx="14">
                  <c:v>2/15</c:v>
                </c:pt>
                <c:pt idx="15">
                  <c:v>2/16</c:v>
                </c:pt>
                <c:pt idx="16">
                  <c:v>2/17</c:v>
                </c:pt>
                <c:pt idx="17">
                  <c:v>2/18</c:v>
                </c:pt>
                <c:pt idx="18">
                  <c:v>2/19</c:v>
                </c:pt>
                <c:pt idx="19">
                  <c:v>2/20</c:v>
                </c:pt>
                <c:pt idx="20">
                  <c:v>2/21</c:v>
                </c:pt>
                <c:pt idx="21">
                  <c:v>2/22</c:v>
                </c:pt>
                <c:pt idx="22">
                  <c:v>2/23</c:v>
                </c:pt>
                <c:pt idx="23">
                  <c:v>2/24</c:v>
                </c:pt>
                <c:pt idx="24">
                  <c:v>2/25</c:v>
                </c:pt>
                <c:pt idx="25">
                  <c:v>2/26</c:v>
                </c:pt>
                <c:pt idx="26">
                  <c:v>2/27</c:v>
                </c:pt>
                <c:pt idx="27">
                  <c:v>2/28</c:v>
                </c:pt>
              </c:strCache>
            </c:strRef>
          </c:cat>
          <c:val>
            <c:numRef>
              <c:f>'2月CEMS日監測'!$E$110:$AF$110</c:f>
              <c:numCache>
                <c:formatCode>General</c:formatCode>
                <c:ptCount val="28"/>
                <c:pt idx="0">
                  <c:v>60</c:v>
                </c:pt>
                <c:pt idx="1">
                  <c:v>60</c:v>
                </c:pt>
                <c:pt idx="2">
                  <c:v>60</c:v>
                </c:pt>
                <c:pt idx="3">
                  <c:v>60</c:v>
                </c:pt>
                <c:pt idx="4">
                  <c:v>60</c:v>
                </c:pt>
                <c:pt idx="5">
                  <c:v>60</c:v>
                </c:pt>
                <c:pt idx="6">
                  <c:v>60</c:v>
                </c:pt>
                <c:pt idx="7">
                  <c:v>60</c:v>
                </c:pt>
                <c:pt idx="8">
                  <c:v>60</c:v>
                </c:pt>
                <c:pt idx="9">
                  <c:v>60</c:v>
                </c:pt>
                <c:pt idx="10">
                  <c:v>60</c:v>
                </c:pt>
                <c:pt idx="11">
                  <c:v>60</c:v>
                </c:pt>
                <c:pt idx="12">
                  <c:v>60</c:v>
                </c:pt>
                <c:pt idx="13">
                  <c:v>60</c:v>
                </c:pt>
                <c:pt idx="14">
                  <c:v>60</c:v>
                </c:pt>
                <c:pt idx="15">
                  <c:v>60</c:v>
                </c:pt>
                <c:pt idx="16">
                  <c:v>60</c:v>
                </c:pt>
                <c:pt idx="17">
                  <c:v>60</c:v>
                </c:pt>
                <c:pt idx="18">
                  <c:v>60</c:v>
                </c:pt>
                <c:pt idx="19">
                  <c:v>60</c:v>
                </c:pt>
                <c:pt idx="20">
                  <c:v>60</c:v>
                </c:pt>
                <c:pt idx="21">
                  <c:v>60</c:v>
                </c:pt>
                <c:pt idx="22">
                  <c:v>60</c:v>
                </c:pt>
                <c:pt idx="23">
                  <c:v>60</c:v>
                </c:pt>
                <c:pt idx="24">
                  <c:v>60</c:v>
                </c:pt>
                <c:pt idx="25">
                  <c:v>60</c:v>
                </c:pt>
                <c:pt idx="26">
                  <c:v>60</c:v>
                </c:pt>
                <c:pt idx="27">
                  <c:v>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034-4DD4-8FC6-F3FBFCB0DC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59703424"/>
        <c:axId val="-59694176"/>
      </c:lineChart>
      <c:catAx>
        <c:axId val="-59703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/>
          <a:lstStyle/>
          <a:p>
            <a:pPr>
              <a:defRPr sz="1100">
                <a:latin typeface="標楷體" panose="03000509000000000000" pitchFamily="65" charset="-120"/>
                <a:ea typeface="標楷體" panose="03000509000000000000" pitchFamily="65" charset="-120"/>
              </a:defRPr>
            </a:pPr>
            <a:endParaRPr lang="zh-TW"/>
          </a:p>
        </c:txPr>
        <c:crossAx val="-59694176"/>
        <c:crosses val="autoZero"/>
        <c:auto val="1"/>
        <c:lblAlgn val="ctr"/>
        <c:lblOffset val="100"/>
        <c:noMultiLvlLbl val="0"/>
      </c:catAx>
      <c:valAx>
        <c:axId val="-59694176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vert="horz"/>
          <a:lstStyle/>
          <a:p>
            <a:pPr>
              <a:defRPr sz="1100">
                <a:latin typeface="Times New Roman" panose="02020603050405020304" pitchFamily="18" charset="0"/>
                <a:ea typeface="標楷體" panose="03000509000000000000" pitchFamily="65" charset="-120"/>
                <a:cs typeface="Times New Roman" panose="02020603050405020304" pitchFamily="18" charset="0"/>
              </a:defRPr>
            </a:pPr>
            <a:endParaRPr lang="zh-TW"/>
          </a:p>
        </c:txPr>
        <c:crossAx val="-59703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vert="horz"/>
        <a:lstStyle/>
        <a:p>
          <a:pPr>
            <a:defRPr sz="1100">
              <a:latin typeface="標楷體" panose="03000509000000000000" pitchFamily="65" charset="-120"/>
              <a:ea typeface="標楷體" panose="03000509000000000000" pitchFamily="65" charset="-120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  <a:latin typeface="微軟正黑體" panose="020B0604030504040204" pitchFamily="34" charset="-120"/>
          <a:ea typeface="微軟正黑體" panose="020B0604030504040204" pitchFamily="34" charset="-120"/>
        </a:defRPr>
      </a:pPr>
      <a:endParaRPr lang="zh-TW"/>
    </a:p>
  </c:txPr>
  <c:printSettings>
    <c:headerFooter/>
    <c:pageMargins b="0.750000000000002" l="0.70000000000000062" r="0.70000000000000062" t="0.750000000000002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vert="horz"/>
          <a:lstStyle/>
          <a:p>
            <a:pPr>
              <a:defRPr sz="1400">
                <a:latin typeface="Times New Roman" panose="02020603050405020304" pitchFamily="18" charset="0"/>
                <a:ea typeface="標楷體" panose="03000509000000000000" pitchFamily="65" charset="-120"/>
                <a:cs typeface="Times New Roman" panose="02020603050405020304" pitchFamily="18" charset="0"/>
              </a:defRPr>
            </a:pPr>
            <a:r>
              <a:rPr lang="en-US" sz="1400" b="0">
                <a:latin typeface="Times New Roman" panose="02020603050405020304" pitchFamily="18" charset="0"/>
                <a:ea typeface="標楷體" panose="03000509000000000000" pitchFamily="65" charset="-120"/>
                <a:cs typeface="Times New Roman" panose="02020603050405020304" pitchFamily="18" charset="0"/>
              </a:rPr>
              <a:t>SOx</a:t>
            </a:r>
            <a:r>
              <a:rPr lang="zh-TW" altLang="en-US" sz="1400" b="0">
                <a:latin typeface="Times New Roman" panose="02020603050405020304" pitchFamily="18" charset="0"/>
                <a:ea typeface="標楷體" panose="03000509000000000000" pitchFamily="65" charset="-120"/>
                <a:cs typeface="Times New Roman" panose="02020603050405020304" pitchFamily="18" charset="0"/>
              </a:rPr>
              <a:t>每日平均值</a:t>
            </a:r>
            <a:r>
              <a:rPr lang="en-US" altLang="zh-TW" sz="1400" b="0" i="0" u="none" strike="noStrike" baseline="0">
                <a:effectLst/>
                <a:latin typeface="Times New Roman" panose="02020603050405020304" pitchFamily="18" charset="0"/>
                <a:ea typeface="標楷體" panose="03000509000000000000" pitchFamily="65" charset="-120"/>
                <a:cs typeface="Times New Roman" panose="02020603050405020304" pitchFamily="18" charset="0"/>
              </a:rPr>
              <a:t>(ppm)</a:t>
            </a:r>
            <a:endParaRPr lang="zh-TW" sz="1400" b="0">
              <a:latin typeface="Times New Roman" panose="02020603050405020304" pitchFamily="18" charset="0"/>
              <a:ea typeface="標楷體" panose="03000509000000000000" pitchFamily="65" charset="-120"/>
              <a:cs typeface="Times New Roman" panose="02020603050405020304" pitchFamily="18" charset="0"/>
            </a:endParaRPr>
          </a:p>
        </c:rich>
      </c:tx>
      <c:layout>
        <c:manualLayout>
          <c:xMode val="edge"/>
          <c:yMode val="edge"/>
          <c:x val="0.31239912402144637"/>
          <c:y val="3.247654720645783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9.2105226722049155E-2"/>
          <c:y val="0.1031636235955056"/>
          <c:w val="0.86161240253003746"/>
          <c:h val="0.66248696322368861"/>
        </c:manualLayout>
      </c:layout>
      <c:lineChart>
        <c:grouping val="standard"/>
        <c:varyColors val="0"/>
        <c:ser>
          <c:idx val="0"/>
          <c:order val="0"/>
          <c:tx>
            <c:strRef>
              <c:f>'2月CEMS日監測'!$C$4</c:f>
              <c:strCache>
                <c:ptCount val="1"/>
                <c:pt idx="0">
                  <c:v>P101</c:v>
                </c:pt>
              </c:strCache>
            </c:strRef>
          </c:tx>
          <c:marker>
            <c:symbol val="none"/>
          </c:marker>
          <c:cat>
            <c:strRef>
              <c:f>'2月CEMS日監測'!$E$2:$AF$2</c:f>
              <c:strCache>
                <c:ptCount val="28"/>
                <c:pt idx="0">
                  <c:v>2/1</c:v>
                </c:pt>
                <c:pt idx="1">
                  <c:v>2/2</c:v>
                </c:pt>
                <c:pt idx="2">
                  <c:v>2/3</c:v>
                </c:pt>
                <c:pt idx="3">
                  <c:v>2/4</c:v>
                </c:pt>
                <c:pt idx="4">
                  <c:v>2/5</c:v>
                </c:pt>
                <c:pt idx="5">
                  <c:v>2/6</c:v>
                </c:pt>
                <c:pt idx="6">
                  <c:v>2/7</c:v>
                </c:pt>
                <c:pt idx="7">
                  <c:v>2/8</c:v>
                </c:pt>
                <c:pt idx="8">
                  <c:v>2/9</c:v>
                </c:pt>
                <c:pt idx="9">
                  <c:v>2/10</c:v>
                </c:pt>
                <c:pt idx="10">
                  <c:v>2/11</c:v>
                </c:pt>
                <c:pt idx="11">
                  <c:v>2/12</c:v>
                </c:pt>
                <c:pt idx="12">
                  <c:v>2/13</c:v>
                </c:pt>
                <c:pt idx="13">
                  <c:v>2/14</c:v>
                </c:pt>
                <c:pt idx="14">
                  <c:v>2/15</c:v>
                </c:pt>
                <c:pt idx="15">
                  <c:v>2/16</c:v>
                </c:pt>
                <c:pt idx="16">
                  <c:v>2/17</c:v>
                </c:pt>
                <c:pt idx="17">
                  <c:v>2/18</c:v>
                </c:pt>
                <c:pt idx="18">
                  <c:v>2/19</c:v>
                </c:pt>
                <c:pt idx="19">
                  <c:v>2/20</c:v>
                </c:pt>
                <c:pt idx="20">
                  <c:v>2/21</c:v>
                </c:pt>
                <c:pt idx="21">
                  <c:v>2/22</c:v>
                </c:pt>
                <c:pt idx="22">
                  <c:v>2/23</c:v>
                </c:pt>
                <c:pt idx="23">
                  <c:v>2/24</c:v>
                </c:pt>
                <c:pt idx="24">
                  <c:v>2/25</c:v>
                </c:pt>
                <c:pt idx="25">
                  <c:v>2/26</c:v>
                </c:pt>
                <c:pt idx="26">
                  <c:v>2/27</c:v>
                </c:pt>
                <c:pt idx="27">
                  <c:v>2/28</c:v>
                </c:pt>
              </c:strCache>
            </c:strRef>
          </c:cat>
          <c:val>
            <c:numRef>
              <c:f>'2月CEMS日監測'!$E$6:$AF$6</c:f>
              <c:numCache>
                <c:formatCode>0.00_);[Red]\(0.00\)</c:formatCode>
                <c:ptCount val="28"/>
                <c:pt idx="0">
                  <c:v>5.23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75F-4E62-AC28-44B31DD1C251}"/>
            </c:ext>
          </c:extLst>
        </c:ser>
        <c:ser>
          <c:idx val="1"/>
          <c:order val="1"/>
          <c:tx>
            <c:strRef>
              <c:f>'2月CEMS日監測'!$C$7</c:f>
              <c:strCache>
                <c:ptCount val="1"/>
                <c:pt idx="0">
                  <c:v>P201</c:v>
                </c:pt>
              </c:strCache>
            </c:strRef>
          </c:tx>
          <c:marker>
            <c:symbol val="none"/>
          </c:marker>
          <c:cat>
            <c:strRef>
              <c:f>'2月CEMS日監測'!$E$2:$AF$2</c:f>
              <c:strCache>
                <c:ptCount val="28"/>
                <c:pt idx="0">
                  <c:v>2/1</c:v>
                </c:pt>
                <c:pt idx="1">
                  <c:v>2/2</c:v>
                </c:pt>
                <c:pt idx="2">
                  <c:v>2/3</c:v>
                </c:pt>
                <c:pt idx="3">
                  <c:v>2/4</c:v>
                </c:pt>
                <c:pt idx="4">
                  <c:v>2/5</c:v>
                </c:pt>
                <c:pt idx="5">
                  <c:v>2/6</c:v>
                </c:pt>
                <c:pt idx="6">
                  <c:v>2/7</c:v>
                </c:pt>
                <c:pt idx="7">
                  <c:v>2/8</c:v>
                </c:pt>
                <c:pt idx="8">
                  <c:v>2/9</c:v>
                </c:pt>
                <c:pt idx="9">
                  <c:v>2/10</c:v>
                </c:pt>
                <c:pt idx="10">
                  <c:v>2/11</c:v>
                </c:pt>
                <c:pt idx="11">
                  <c:v>2/12</c:v>
                </c:pt>
                <c:pt idx="12">
                  <c:v>2/13</c:v>
                </c:pt>
                <c:pt idx="13">
                  <c:v>2/14</c:v>
                </c:pt>
                <c:pt idx="14">
                  <c:v>2/15</c:v>
                </c:pt>
                <c:pt idx="15">
                  <c:v>2/16</c:v>
                </c:pt>
                <c:pt idx="16">
                  <c:v>2/17</c:v>
                </c:pt>
                <c:pt idx="17">
                  <c:v>2/18</c:v>
                </c:pt>
                <c:pt idx="18">
                  <c:v>2/19</c:v>
                </c:pt>
                <c:pt idx="19">
                  <c:v>2/20</c:v>
                </c:pt>
                <c:pt idx="20">
                  <c:v>2/21</c:v>
                </c:pt>
                <c:pt idx="21">
                  <c:v>2/22</c:v>
                </c:pt>
                <c:pt idx="22">
                  <c:v>2/23</c:v>
                </c:pt>
                <c:pt idx="23">
                  <c:v>2/24</c:v>
                </c:pt>
                <c:pt idx="24">
                  <c:v>2/25</c:v>
                </c:pt>
                <c:pt idx="25">
                  <c:v>2/26</c:v>
                </c:pt>
                <c:pt idx="26">
                  <c:v>2/27</c:v>
                </c:pt>
                <c:pt idx="27">
                  <c:v>2/28</c:v>
                </c:pt>
              </c:strCache>
            </c:strRef>
          </c:cat>
          <c:val>
            <c:numRef>
              <c:f>'2月CEMS日監測'!$E$9:$AF$9</c:f>
              <c:numCache>
                <c:formatCode>0.00_);[Red]\(0.00\)</c:formatCode>
                <c:ptCount val="28"/>
                <c:pt idx="0">
                  <c:v>3.9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75F-4E62-AC28-44B31DD1C251}"/>
            </c:ext>
          </c:extLst>
        </c:ser>
        <c:ser>
          <c:idx val="3"/>
          <c:order val="2"/>
          <c:tx>
            <c:strRef>
              <c:f>'2月CEMS日監測'!$D$107</c:f>
              <c:strCache>
                <c:ptCount val="1"/>
                <c:pt idx="0">
                  <c:v>契約限值</c:v>
                </c:pt>
              </c:strCache>
            </c:strRef>
          </c:tx>
          <c:marker>
            <c:symbol val="none"/>
          </c:marker>
          <c:cat>
            <c:strRef>
              <c:f>'2月CEMS日監測'!$E$2:$AF$2</c:f>
              <c:strCache>
                <c:ptCount val="28"/>
                <c:pt idx="0">
                  <c:v>2/1</c:v>
                </c:pt>
                <c:pt idx="1">
                  <c:v>2/2</c:v>
                </c:pt>
                <c:pt idx="2">
                  <c:v>2/3</c:v>
                </c:pt>
                <c:pt idx="3">
                  <c:v>2/4</c:v>
                </c:pt>
                <c:pt idx="4">
                  <c:v>2/5</c:v>
                </c:pt>
                <c:pt idx="5">
                  <c:v>2/6</c:v>
                </c:pt>
                <c:pt idx="6">
                  <c:v>2/7</c:v>
                </c:pt>
                <c:pt idx="7">
                  <c:v>2/8</c:v>
                </c:pt>
                <c:pt idx="8">
                  <c:v>2/9</c:v>
                </c:pt>
                <c:pt idx="9">
                  <c:v>2/10</c:v>
                </c:pt>
                <c:pt idx="10">
                  <c:v>2/11</c:v>
                </c:pt>
                <c:pt idx="11">
                  <c:v>2/12</c:v>
                </c:pt>
                <c:pt idx="12">
                  <c:v>2/13</c:v>
                </c:pt>
                <c:pt idx="13">
                  <c:v>2/14</c:v>
                </c:pt>
                <c:pt idx="14">
                  <c:v>2/15</c:v>
                </c:pt>
                <c:pt idx="15">
                  <c:v>2/16</c:v>
                </c:pt>
                <c:pt idx="16">
                  <c:v>2/17</c:v>
                </c:pt>
                <c:pt idx="17">
                  <c:v>2/18</c:v>
                </c:pt>
                <c:pt idx="18">
                  <c:v>2/19</c:v>
                </c:pt>
                <c:pt idx="19">
                  <c:v>2/20</c:v>
                </c:pt>
                <c:pt idx="20">
                  <c:v>2/21</c:v>
                </c:pt>
                <c:pt idx="21">
                  <c:v>2/22</c:v>
                </c:pt>
                <c:pt idx="22">
                  <c:v>2/23</c:v>
                </c:pt>
                <c:pt idx="23">
                  <c:v>2/24</c:v>
                </c:pt>
                <c:pt idx="24">
                  <c:v>2/25</c:v>
                </c:pt>
                <c:pt idx="25">
                  <c:v>2/26</c:v>
                </c:pt>
                <c:pt idx="26">
                  <c:v>2/27</c:v>
                </c:pt>
                <c:pt idx="27">
                  <c:v>2/28</c:v>
                </c:pt>
              </c:strCache>
            </c:strRef>
          </c:cat>
          <c:val>
            <c:numRef>
              <c:f>'2月CEMS日監測'!$E$108:$AF$108</c:f>
              <c:numCache>
                <c:formatCode>General</c:formatCode>
                <c:ptCount val="28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  <c:pt idx="8">
                  <c:v>20</c:v>
                </c:pt>
                <c:pt idx="9">
                  <c:v>20</c:v>
                </c:pt>
                <c:pt idx="10">
                  <c:v>20</c:v>
                </c:pt>
                <c:pt idx="11">
                  <c:v>20</c:v>
                </c:pt>
                <c:pt idx="12">
                  <c:v>20</c:v>
                </c:pt>
                <c:pt idx="13">
                  <c:v>20</c:v>
                </c:pt>
                <c:pt idx="14">
                  <c:v>20</c:v>
                </c:pt>
                <c:pt idx="15">
                  <c:v>20</c:v>
                </c:pt>
                <c:pt idx="16">
                  <c:v>20</c:v>
                </c:pt>
                <c:pt idx="17">
                  <c:v>20</c:v>
                </c:pt>
                <c:pt idx="18">
                  <c:v>20</c:v>
                </c:pt>
                <c:pt idx="19">
                  <c:v>20</c:v>
                </c:pt>
                <c:pt idx="20">
                  <c:v>20</c:v>
                </c:pt>
                <c:pt idx="21">
                  <c:v>20</c:v>
                </c:pt>
                <c:pt idx="22">
                  <c:v>20</c:v>
                </c:pt>
                <c:pt idx="23">
                  <c:v>20</c:v>
                </c:pt>
                <c:pt idx="24">
                  <c:v>20</c:v>
                </c:pt>
                <c:pt idx="25">
                  <c:v>20</c:v>
                </c:pt>
                <c:pt idx="26">
                  <c:v>20</c:v>
                </c:pt>
                <c:pt idx="27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75F-4E62-AC28-44B31DD1C2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59693632"/>
        <c:axId val="-59693088"/>
      </c:lineChart>
      <c:catAx>
        <c:axId val="-59693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/>
          <a:lstStyle/>
          <a:p>
            <a:pPr>
              <a:defRPr/>
            </a:pPr>
            <a:endParaRPr lang="zh-TW"/>
          </a:p>
        </c:txPr>
        <c:crossAx val="-59693088"/>
        <c:crosses val="autoZero"/>
        <c:auto val="1"/>
        <c:lblAlgn val="ctr"/>
        <c:lblOffset val="100"/>
        <c:noMultiLvlLbl val="0"/>
      </c:catAx>
      <c:valAx>
        <c:axId val="-59693088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vert="horz"/>
          <a:lstStyle/>
          <a:p>
            <a:pPr>
              <a:defRPr sz="11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endParaRPr lang="zh-TW"/>
          </a:p>
        </c:txPr>
        <c:crossAx val="-59693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vert="horz"/>
        <a:lstStyle/>
        <a:p>
          <a:pPr>
            <a:defRPr/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  <a:latin typeface="標楷體" panose="03000509000000000000" pitchFamily="65" charset="-120"/>
          <a:ea typeface="標楷體" panose="03000509000000000000" pitchFamily="65" charset="-120"/>
        </a:defRPr>
      </a:pPr>
      <a:endParaRPr lang="zh-TW"/>
    </a:p>
  </c:txPr>
  <c:printSettings>
    <c:headerFooter/>
    <c:pageMargins b="0.750000000000002" l="0.70000000000000062" r="0.70000000000000062" t="0.750000000000002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vert="horz"/>
          <a:lstStyle/>
          <a:p>
            <a:pPr>
              <a:defRPr sz="1400" b="0">
                <a:latin typeface="Times New Roman" panose="02020603050405020304" pitchFamily="18" charset="0"/>
                <a:ea typeface="標楷體" panose="03000509000000000000" pitchFamily="65" charset="-120"/>
                <a:cs typeface="Times New Roman" panose="02020603050405020304" pitchFamily="18" charset="0"/>
              </a:defRPr>
            </a:pPr>
            <a:r>
              <a:rPr lang="en-US" sz="1400" b="0">
                <a:latin typeface="Times New Roman" panose="02020603050405020304" pitchFamily="18" charset="0"/>
                <a:ea typeface="標楷體" panose="03000509000000000000" pitchFamily="65" charset="-120"/>
                <a:cs typeface="Times New Roman" panose="02020603050405020304" pitchFamily="18" charset="0"/>
              </a:rPr>
              <a:t>Opacity</a:t>
            </a:r>
            <a:r>
              <a:rPr lang="zh-TW" altLang="zh-TW" sz="1400" b="0" i="0" u="none" strike="noStrike" baseline="0">
                <a:effectLst/>
                <a:latin typeface="Times New Roman" panose="02020603050405020304" pitchFamily="18" charset="0"/>
                <a:ea typeface="標楷體" panose="03000509000000000000" pitchFamily="65" charset="-120"/>
                <a:cs typeface="Times New Roman" panose="02020603050405020304" pitchFamily="18" charset="0"/>
              </a:rPr>
              <a:t>每日平均值</a:t>
            </a:r>
            <a:r>
              <a:rPr lang="en-US" altLang="zh-TW" sz="1400" b="0">
                <a:latin typeface="Times New Roman" panose="02020603050405020304" pitchFamily="18" charset="0"/>
                <a:ea typeface="標楷體" panose="03000509000000000000" pitchFamily="65" charset="-120"/>
                <a:cs typeface="Times New Roman" panose="02020603050405020304" pitchFamily="18" charset="0"/>
              </a:rPr>
              <a:t>(%)</a:t>
            </a:r>
          </a:p>
        </c:rich>
      </c:tx>
      <c:layout>
        <c:manualLayout>
          <c:xMode val="edge"/>
          <c:yMode val="edge"/>
          <c:x val="0.30547508417508423"/>
          <c:y val="0"/>
        </c:manualLayout>
      </c:layout>
      <c:overlay val="1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2210461816965559"/>
          <c:y val="0.14689745142803912"/>
          <c:w val="0.85520195283697964"/>
          <c:h val="0.61255401987138314"/>
        </c:manualLayout>
      </c:layout>
      <c:lineChart>
        <c:grouping val="standard"/>
        <c:varyColors val="0"/>
        <c:ser>
          <c:idx val="0"/>
          <c:order val="0"/>
          <c:tx>
            <c:strRef>
              <c:f>'2月CEMS日監測'!$C$28</c:f>
              <c:strCache>
                <c:ptCount val="1"/>
                <c:pt idx="0">
                  <c:v>P101</c:v>
                </c:pt>
              </c:strCache>
            </c:strRef>
          </c:tx>
          <c:marker>
            <c:symbol val="none"/>
          </c:marker>
          <c:cat>
            <c:strRef>
              <c:f>'2月CEMS日監測'!$E$2:$AF$2</c:f>
              <c:strCache>
                <c:ptCount val="28"/>
                <c:pt idx="0">
                  <c:v>2/1</c:v>
                </c:pt>
                <c:pt idx="1">
                  <c:v>2/2</c:v>
                </c:pt>
                <c:pt idx="2">
                  <c:v>2/3</c:v>
                </c:pt>
                <c:pt idx="3">
                  <c:v>2/4</c:v>
                </c:pt>
                <c:pt idx="4">
                  <c:v>2/5</c:v>
                </c:pt>
                <c:pt idx="5">
                  <c:v>2/6</c:v>
                </c:pt>
                <c:pt idx="6">
                  <c:v>2/7</c:v>
                </c:pt>
                <c:pt idx="7">
                  <c:v>2/8</c:v>
                </c:pt>
                <c:pt idx="8">
                  <c:v>2/9</c:v>
                </c:pt>
                <c:pt idx="9">
                  <c:v>2/10</c:v>
                </c:pt>
                <c:pt idx="10">
                  <c:v>2/11</c:v>
                </c:pt>
                <c:pt idx="11">
                  <c:v>2/12</c:v>
                </c:pt>
                <c:pt idx="12">
                  <c:v>2/13</c:v>
                </c:pt>
                <c:pt idx="13">
                  <c:v>2/14</c:v>
                </c:pt>
                <c:pt idx="14">
                  <c:v>2/15</c:v>
                </c:pt>
                <c:pt idx="15">
                  <c:v>2/16</c:v>
                </c:pt>
                <c:pt idx="16">
                  <c:v>2/17</c:v>
                </c:pt>
                <c:pt idx="17">
                  <c:v>2/18</c:v>
                </c:pt>
                <c:pt idx="18">
                  <c:v>2/19</c:v>
                </c:pt>
                <c:pt idx="19">
                  <c:v>2/20</c:v>
                </c:pt>
                <c:pt idx="20">
                  <c:v>2/21</c:v>
                </c:pt>
                <c:pt idx="21">
                  <c:v>2/22</c:v>
                </c:pt>
                <c:pt idx="22">
                  <c:v>2/23</c:v>
                </c:pt>
                <c:pt idx="23">
                  <c:v>2/24</c:v>
                </c:pt>
                <c:pt idx="24">
                  <c:v>2/25</c:v>
                </c:pt>
                <c:pt idx="25">
                  <c:v>2/26</c:v>
                </c:pt>
                <c:pt idx="26">
                  <c:v>2/27</c:v>
                </c:pt>
                <c:pt idx="27">
                  <c:v>2/28</c:v>
                </c:pt>
              </c:strCache>
            </c:strRef>
          </c:cat>
          <c:val>
            <c:numRef>
              <c:f>'2月CEMS日監測'!$E$30:$AF$30</c:f>
              <c:numCache>
                <c:formatCode>0.00_);[Red]\(0.00\)</c:formatCode>
                <c:ptCount val="2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46-432F-BAD8-1C7BA89F0C35}"/>
            </c:ext>
          </c:extLst>
        </c:ser>
        <c:ser>
          <c:idx val="1"/>
          <c:order val="1"/>
          <c:tx>
            <c:strRef>
              <c:f>'2月CEMS日監測'!$C$31</c:f>
              <c:strCache>
                <c:ptCount val="1"/>
                <c:pt idx="0">
                  <c:v>P201</c:v>
                </c:pt>
              </c:strCache>
            </c:strRef>
          </c:tx>
          <c:marker>
            <c:symbol val="none"/>
          </c:marker>
          <c:cat>
            <c:strRef>
              <c:f>'2月CEMS日監測'!$E$2:$AF$2</c:f>
              <c:strCache>
                <c:ptCount val="28"/>
                <c:pt idx="0">
                  <c:v>2/1</c:v>
                </c:pt>
                <c:pt idx="1">
                  <c:v>2/2</c:v>
                </c:pt>
                <c:pt idx="2">
                  <c:v>2/3</c:v>
                </c:pt>
                <c:pt idx="3">
                  <c:v>2/4</c:v>
                </c:pt>
                <c:pt idx="4">
                  <c:v>2/5</c:v>
                </c:pt>
                <c:pt idx="5">
                  <c:v>2/6</c:v>
                </c:pt>
                <c:pt idx="6">
                  <c:v>2/7</c:v>
                </c:pt>
                <c:pt idx="7">
                  <c:v>2/8</c:v>
                </c:pt>
                <c:pt idx="8">
                  <c:v>2/9</c:v>
                </c:pt>
                <c:pt idx="9">
                  <c:v>2/10</c:v>
                </c:pt>
                <c:pt idx="10">
                  <c:v>2/11</c:v>
                </c:pt>
                <c:pt idx="11">
                  <c:v>2/12</c:v>
                </c:pt>
                <c:pt idx="12">
                  <c:v>2/13</c:v>
                </c:pt>
                <c:pt idx="13">
                  <c:v>2/14</c:v>
                </c:pt>
                <c:pt idx="14">
                  <c:v>2/15</c:v>
                </c:pt>
                <c:pt idx="15">
                  <c:v>2/16</c:v>
                </c:pt>
                <c:pt idx="16">
                  <c:v>2/17</c:v>
                </c:pt>
                <c:pt idx="17">
                  <c:v>2/18</c:v>
                </c:pt>
                <c:pt idx="18">
                  <c:v>2/19</c:v>
                </c:pt>
                <c:pt idx="19">
                  <c:v>2/20</c:v>
                </c:pt>
                <c:pt idx="20">
                  <c:v>2/21</c:v>
                </c:pt>
                <c:pt idx="21">
                  <c:v>2/22</c:v>
                </c:pt>
                <c:pt idx="22">
                  <c:v>2/23</c:v>
                </c:pt>
                <c:pt idx="23">
                  <c:v>2/24</c:v>
                </c:pt>
                <c:pt idx="24">
                  <c:v>2/25</c:v>
                </c:pt>
                <c:pt idx="25">
                  <c:v>2/26</c:v>
                </c:pt>
                <c:pt idx="26">
                  <c:v>2/27</c:v>
                </c:pt>
                <c:pt idx="27">
                  <c:v>2/28</c:v>
                </c:pt>
              </c:strCache>
            </c:strRef>
          </c:cat>
          <c:val>
            <c:numRef>
              <c:f>'2月CEMS日監測'!$E$33:$AF$33</c:f>
              <c:numCache>
                <c:formatCode>0.00_);[Red]\(0.00\)</c:formatCode>
                <c:ptCount val="2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46-432F-BAD8-1C7BA89F0C35}"/>
            </c:ext>
          </c:extLst>
        </c:ser>
        <c:ser>
          <c:idx val="3"/>
          <c:order val="2"/>
          <c:tx>
            <c:strRef>
              <c:f>'2月CEMS日監測'!$D$107</c:f>
              <c:strCache>
                <c:ptCount val="1"/>
                <c:pt idx="0">
                  <c:v>契約限值</c:v>
                </c:pt>
              </c:strCache>
            </c:strRef>
          </c:tx>
          <c:marker>
            <c:symbol val="none"/>
          </c:marker>
          <c:cat>
            <c:strRef>
              <c:f>'2月CEMS日監測'!$E$2:$AF$2</c:f>
              <c:strCache>
                <c:ptCount val="28"/>
                <c:pt idx="0">
                  <c:v>2/1</c:v>
                </c:pt>
                <c:pt idx="1">
                  <c:v>2/2</c:v>
                </c:pt>
                <c:pt idx="2">
                  <c:v>2/3</c:v>
                </c:pt>
                <c:pt idx="3">
                  <c:v>2/4</c:v>
                </c:pt>
                <c:pt idx="4">
                  <c:v>2/5</c:v>
                </c:pt>
                <c:pt idx="5">
                  <c:v>2/6</c:v>
                </c:pt>
                <c:pt idx="6">
                  <c:v>2/7</c:v>
                </c:pt>
                <c:pt idx="7">
                  <c:v>2/8</c:v>
                </c:pt>
                <c:pt idx="8">
                  <c:v>2/9</c:v>
                </c:pt>
                <c:pt idx="9">
                  <c:v>2/10</c:v>
                </c:pt>
                <c:pt idx="10">
                  <c:v>2/11</c:v>
                </c:pt>
                <c:pt idx="11">
                  <c:v>2/12</c:v>
                </c:pt>
                <c:pt idx="12">
                  <c:v>2/13</c:v>
                </c:pt>
                <c:pt idx="13">
                  <c:v>2/14</c:v>
                </c:pt>
                <c:pt idx="14">
                  <c:v>2/15</c:v>
                </c:pt>
                <c:pt idx="15">
                  <c:v>2/16</c:v>
                </c:pt>
                <c:pt idx="16">
                  <c:v>2/17</c:v>
                </c:pt>
                <c:pt idx="17">
                  <c:v>2/18</c:v>
                </c:pt>
                <c:pt idx="18">
                  <c:v>2/19</c:v>
                </c:pt>
                <c:pt idx="19">
                  <c:v>2/20</c:v>
                </c:pt>
                <c:pt idx="20">
                  <c:v>2/21</c:v>
                </c:pt>
                <c:pt idx="21">
                  <c:v>2/22</c:v>
                </c:pt>
                <c:pt idx="22">
                  <c:v>2/23</c:v>
                </c:pt>
                <c:pt idx="23">
                  <c:v>2/24</c:v>
                </c:pt>
                <c:pt idx="24">
                  <c:v>2/25</c:v>
                </c:pt>
                <c:pt idx="25">
                  <c:v>2/26</c:v>
                </c:pt>
                <c:pt idx="26">
                  <c:v>2/27</c:v>
                </c:pt>
                <c:pt idx="27">
                  <c:v>2/28</c:v>
                </c:pt>
              </c:strCache>
            </c:strRef>
          </c:cat>
          <c:val>
            <c:numRef>
              <c:f>'2月CEMS日監測'!$E$112:$AF$112</c:f>
              <c:numCache>
                <c:formatCode>General</c:formatCode>
                <c:ptCount val="28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10</c:v>
                </c:pt>
                <c:pt idx="11">
                  <c:v>10</c:v>
                </c:pt>
                <c:pt idx="12">
                  <c:v>10</c:v>
                </c:pt>
                <c:pt idx="13">
                  <c:v>10</c:v>
                </c:pt>
                <c:pt idx="14">
                  <c:v>10</c:v>
                </c:pt>
                <c:pt idx="15">
                  <c:v>10</c:v>
                </c:pt>
                <c:pt idx="16">
                  <c:v>10</c:v>
                </c:pt>
                <c:pt idx="17">
                  <c:v>10</c:v>
                </c:pt>
                <c:pt idx="18">
                  <c:v>10</c:v>
                </c:pt>
                <c:pt idx="19">
                  <c:v>10</c:v>
                </c:pt>
                <c:pt idx="20">
                  <c:v>10</c:v>
                </c:pt>
                <c:pt idx="21">
                  <c:v>10</c:v>
                </c:pt>
                <c:pt idx="22">
                  <c:v>10</c:v>
                </c:pt>
                <c:pt idx="23">
                  <c:v>10</c:v>
                </c:pt>
                <c:pt idx="24">
                  <c:v>10</c:v>
                </c:pt>
                <c:pt idx="25">
                  <c:v>10</c:v>
                </c:pt>
                <c:pt idx="26">
                  <c:v>10</c:v>
                </c:pt>
                <c:pt idx="27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546-432F-BAD8-1C7BA89F0C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59701792"/>
        <c:axId val="-59699072"/>
      </c:lineChart>
      <c:catAx>
        <c:axId val="-597017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/>
          <a:lstStyle/>
          <a:p>
            <a:pPr>
              <a:defRPr sz="1100">
                <a:latin typeface="標楷體" panose="03000509000000000000" pitchFamily="65" charset="-120"/>
                <a:ea typeface="標楷體" panose="03000509000000000000" pitchFamily="65" charset="-120"/>
              </a:defRPr>
            </a:pPr>
            <a:endParaRPr lang="zh-TW"/>
          </a:p>
        </c:txPr>
        <c:crossAx val="-59699072"/>
        <c:crosses val="autoZero"/>
        <c:auto val="1"/>
        <c:lblAlgn val="ctr"/>
        <c:lblOffset val="100"/>
        <c:noMultiLvlLbl val="0"/>
      </c:catAx>
      <c:valAx>
        <c:axId val="-59699072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vert="horz"/>
          <a:lstStyle/>
          <a:p>
            <a:pPr>
              <a:defRPr sz="1100">
                <a:latin typeface="Times New Roman" panose="02020603050405020304" pitchFamily="18" charset="0"/>
                <a:ea typeface="標楷體" panose="03000509000000000000" pitchFamily="65" charset="-120"/>
                <a:cs typeface="Times New Roman" panose="02020603050405020304" pitchFamily="18" charset="0"/>
              </a:defRPr>
            </a:pPr>
            <a:endParaRPr lang="zh-TW"/>
          </a:p>
        </c:txPr>
        <c:crossAx val="-59701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vert="horz"/>
        <a:lstStyle/>
        <a:p>
          <a:pPr>
            <a:defRPr sz="1100">
              <a:latin typeface="標楷體" panose="03000509000000000000" pitchFamily="65" charset="-120"/>
              <a:ea typeface="標楷體" panose="03000509000000000000" pitchFamily="65" charset="-120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  <a:latin typeface="微軟正黑體" panose="020B0604030504040204" pitchFamily="34" charset="-120"/>
          <a:ea typeface="微軟正黑體" panose="020B0604030504040204" pitchFamily="34" charset="-120"/>
        </a:defRPr>
      </a:pPr>
      <a:endParaRPr lang="zh-TW"/>
    </a:p>
  </c:txPr>
  <c:printSettings>
    <c:headerFooter/>
    <c:pageMargins b="0.750000000000002" l="0.70000000000000062" r="0.70000000000000062" t="0.750000000000002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vert="horz"/>
          <a:lstStyle/>
          <a:p>
            <a:pPr>
              <a:defRPr sz="1400">
                <a:latin typeface="Times New Roman" panose="02020603050405020304" pitchFamily="18" charset="0"/>
                <a:ea typeface="標楷體" panose="03000509000000000000" pitchFamily="65" charset="-120"/>
                <a:cs typeface="Times New Roman" panose="02020603050405020304" pitchFamily="18" charset="0"/>
              </a:defRPr>
            </a:pPr>
            <a:r>
              <a:rPr lang="en-US" sz="1400" b="0">
                <a:latin typeface="Times New Roman" panose="02020603050405020304" pitchFamily="18" charset="0"/>
                <a:ea typeface="標楷體" panose="03000509000000000000" pitchFamily="65" charset="-120"/>
                <a:cs typeface="Times New Roman" panose="02020603050405020304" pitchFamily="18" charset="0"/>
              </a:rPr>
              <a:t>HCl</a:t>
            </a:r>
            <a:r>
              <a:rPr lang="zh-TW" altLang="zh-TW" sz="1400" b="0" i="0" u="none" strike="noStrike" baseline="0">
                <a:effectLst/>
                <a:latin typeface="Times New Roman" panose="02020603050405020304" pitchFamily="18" charset="0"/>
                <a:ea typeface="標楷體" panose="03000509000000000000" pitchFamily="65" charset="-120"/>
                <a:cs typeface="Times New Roman" panose="02020603050405020304" pitchFamily="18" charset="0"/>
              </a:rPr>
              <a:t>每日平均值</a:t>
            </a:r>
            <a:r>
              <a:rPr lang="en-US" altLang="zh-TW" sz="1400" b="0" i="0" u="none" strike="noStrike" baseline="0">
                <a:effectLst/>
                <a:latin typeface="Times New Roman" panose="02020603050405020304" pitchFamily="18" charset="0"/>
                <a:ea typeface="標楷體" panose="03000509000000000000" pitchFamily="65" charset="-120"/>
                <a:cs typeface="Times New Roman" panose="02020603050405020304" pitchFamily="18" charset="0"/>
              </a:rPr>
              <a:t>(ppm)</a:t>
            </a:r>
            <a:endParaRPr lang="zh-TW" sz="1400" b="0">
              <a:latin typeface="Times New Roman" panose="02020603050405020304" pitchFamily="18" charset="0"/>
              <a:ea typeface="標楷體" panose="03000509000000000000" pitchFamily="65" charset="-120"/>
              <a:cs typeface="Times New Roman" panose="02020603050405020304" pitchFamily="18" charset="0"/>
            </a:endParaRPr>
          </a:p>
        </c:rich>
      </c:tx>
      <c:layout>
        <c:manualLayout>
          <c:xMode val="edge"/>
          <c:yMode val="edge"/>
          <c:x val="0.29044781144781145"/>
          <c:y val="0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1455084529151453"/>
          <c:y val="0.11335459025747001"/>
          <c:w val="0.86290654158555413"/>
          <c:h val="0.6519007417373065"/>
        </c:manualLayout>
      </c:layout>
      <c:lineChart>
        <c:grouping val="standard"/>
        <c:varyColors val="0"/>
        <c:ser>
          <c:idx val="0"/>
          <c:order val="0"/>
          <c:tx>
            <c:strRef>
              <c:f>'2月CEMS日監測'!$C$22</c:f>
              <c:strCache>
                <c:ptCount val="1"/>
                <c:pt idx="0">
                  <c:v>P101</c:v>
                </c:pt>
              </c:strCache>
            </c:strRef>
          </c:tx>
          <c:marker>
            <c:symbol val="none"/>
          </c:marker>
          <c:cat>
            <c:strRef>
              <c:f>'2月CEMS日監測'!$E$2:$AF$2</c:f>
              <c:strCache>
                <c:ptCount val="28"/>
                <c:pt idx="0">
                  <c:v>2/1</c:v>
                </c:pt>
                <c:pt idx="1">
                  <c:v>2/2</c:v>
                </c:pt>
                <c:pt idx="2">
                  <c:v>2/3</c:v>
                </c:pt>
                <c:pt idx="3">
                  <c:v>2/4</c:v>
                </c:pt>
                <c:pt idx="4">
                  <c:v>2/5</c:v>
                </c:pt>
                <c:pt idx="5">
                  <c:v>2/6</c:v>
                </c:pt>
                <c:pt idx="6">
                  <c:v>2/7</c:v>
                </c:pt>
                <c:pt idx="7">
                  <c:v>2/8</c:v>
                </c:pt>
                <c:pt idx="8">
                  <c:v>2/9</c:v>
                </c:pt>
                <c:pt idx="9">
                  <c:v>2/10</c:v>
                </c:pt>
                <c:pt idx="10">
                  <c:v>2/11</c:v>
                </c:pt>
                <c:pt idx="11">
                  <c:v>2/12</c:v>
                </c:pt>
                <c:pt idx="12">
                  <c:v>2/13</c:v>
                </c:pt>
                <c:pt idx="13">
                  <c:v>2/14</c:v>
                </c:pt>
                <c:pt idx="14">
                  <c:v>2/15</c:v>
                </c:pt>
                <c:pt idx="15">
                  <c:v>2/16</c:v>
                </c:pt>
                <c:pt idx="16">
                  <c:v>2/17</c:v>
                </c:pt>
                <c:pt idx="17">
                  <c:v>2/18</c:v>
                </c:pt>
                <c:pt idx="18">
                  <c:v>2/19</c:v>
                </c:pt>
                <c:pt idx="19">
                  <c:v>2/20</c:v>
                </c:pt>
                <c:pt idx="20">
                  <c:v>2/21</c:v>
                </c:pt>
                <c:pt idx="21">
                  <c:v>2/22</c:v>
                </c:pt>
                <c:pt idx="22">
                  <c:v>2/23</c:v>
                </c:pt>
                <c:pt idx="23">
                  <c:v>2/24</c:v>
                </c:pt>
                <c:pt idx="24">
                  <c:v>2/25</c:v>
                </c:pt>
                <c:pt idx="25">
                  <c:v>2/26</c:v>
                </c:pt>
                <c:pt idx="26">
                  <c:v>2/27</c:v>
                </c:pt>
                <c:pt idx="27">
                  <c:v>2/28</c:v>
                </c:pt>
              </c:strCache>
            </c:strRef>
          </c:cat>
          <c:val>
            <c:numRef>
              <c:f>'2月CEMS日監測'!$E$24:$AF$24</c:f>
              <c:numCache>
                <c:formatCode>0.00_);[Red]\(0.00\)</c:formatCode>
                <c:ptCount val="28"/>
                <c:pt idx="0">
                  <c:v>13.35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889-41C3-BE5D-A8B4C372E343}"/>
            </c:ext>
          </c:extLst>
        </c:ser>
        <c:ser>
          <c:idx val="1"/>
          <c:order val="1"/>
          <c:tx>
            <c:strRef>
              <c:f>'2月CEMS日監測'!$C$25</c:f>
              <c:strCache>
                <c:ptCount val="1"/>
                <c:pt idx="0">
                  <c:v>P201</c:v>
                </c:pt>
              </c:strCache>
            </c:strRef>
          </c:tx>
          <c:marker>
            <c:symbol val="none"/>
          </c:marker>
          <c:cat>
            <c:strRef>
              <c:f>'2月CEMS日監測'!$E$2:$AF$2</c:f>
              <c:strCache>
                <c:ptCount val="28"/>
                <c:pt idx="0">
                  <c:v>2/1</c:v>
                </c:pt>
                <c:pt idx="1">
                  <c:v>2/2</c:v>
                </c:pt>
                <c:pt idx="2">
                  <c:v>2/3</c:v>
                </c:pt>
                <c:pt idx="3">
                  <c:v>2/4</c:v>
                </c:pt>
                <c:pt idx="4">
                  <c:v>2/5</c:v>
                </c:pt>
                <c:pt idx="5">
                  <c:v>2/6</c:v>
                </c:pt>
                <c:pt idx="6">
                  <c:v>2/7</c:v>
                </c:pt>
                <c:pt idx="7">
                  <c:v>2/8</c:v>
                </c:pt>
                <c:pt idx="8">
                  <c:v>2/9</c:v>
                </c:pt>
                <c:pt idx="9">
                  <c:v>2/10</c:v>
                </c:pt>
                <c:pt idx="10">
                  <c:v>2/11</c:v>
                </c:pt>
                <c:pt idx="11">
                  <c:v>2/12</c:v>
                </c:pt>
                <c:pt idx="12">
                  <c:v>2/13</c:v>
                </c:pt>
                <c:pt idx="13">
                  <c:v>2/14</c:v>
                </c:pt>
                <c:pt idx="14">
                  <c:v>2/15</c:v>
                </c:pt>
                <c:pt idx="15">
                  <c:v>2/16</c:v>
                </c:pt>
                <c:pt idx="16">
                  <c:v>2/17</c:v>
                </c:pt>
                <c:pt idx="17">
                  <c:v>2/18</c:v>
                </c:pt>
                <c:pt idx="18">
                  <c:v>2/19</c:v>
                </c:pt>
                <c:pt idx="19">
                  <c:v>2/20</c:v>
                </c:pt>
                <c:pt idx="20">
                  <c:v>2/21</c:v>
                </c:pt>
                <c:pt idx="21">
                  <c:v>2/22</c:v>
                </c:pt>
                <c:pt idx="22">
                  <c:v>2/23</c:v>
                </c:pt>
                <c:pt idx="23">
                  <c:v>2/24</c:v>
                </c:pt>
                <c:pt idx="24">
                  <c:v>2/25</c:v>
                </c:pt>
                <c:pt idx="25">
                  <c:v>2/26</c:v>
                </c:pt>
                <c:pt idx="26">
                  <c:v>2/27</c:v>
                </c:pt>
                <c:pt idx="27">
                  <c:v>2/28</c:v>
                </c:pt>
              </c:strCache>
            </c:strRef>
          </c:cat>
          <c:val>
            <c:numRef>
              <c:f>'2月CEMS日監測'!$E$27:$AF$27</c:f>
              <c:numCache>
                <c:formatCode>0.00_);[Red]\(0.00\)</c:formatCode>
                <c:ptCount val="28"/>
                <c:pt idx="0">
                  <c:v>13.52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889-41C3-BE5D-A8B4C372E343}"/>
            </c:ext>
          </c:extLst>
        </c:ser>
        <c:ser>
          <c:idx val="3"/>
          <c:order val="2"/>
          <c:tx>
            <c:strRef>
              <c:f>'2月CEMS日監測'!$D$107</c:f>
              <c:strCache>
                <c:ptCount val="1"/>
                <c:pt idx="0">
                  <c:v>契約限值</c:v>
                </c:pt>
              </c:strCache>
            </c:strRef>
          </c:tx>
          <c:marker>
            <c:symbol val="none"/>
          </c:marker>
          <c:cat>
            <c:strRef>
              <c:f>'2月CEMS日監測'!$E$2:$AF$2</c:f>
              <c:strCache>
                <c:ptCount val="28"/>
                <c:pt idx="0">
                  <c:v>2/1</c:v>
                </c:pt>
                <c:pt idx="1">
                  <c:v>2/2</c:v>
                </c:pt>
                <c:pt idx="2">
                  <c:v>2/3</c:v>
                </c:pt>
                <c:pt idx="3">
                  <c:v>2/4</c:v>
                </c:pt>
                <c:pt idx="4">
                  <c:v>2/5</c:v>
                </c:pt>
                <c:pt idx="5">
                  <c:v>2/6</c:v>
                </c:pt>
                <c:pt idx="6">
                  <c:v>2/7</c:v>
                </c:pt>
                <c:pt idx="7">
                  <c:v>2/8</c:v>
                </c:pt>
                <c:pt idx="8">
                  <c:v>2/9</c:v>
                </c:pt>
                <c:pt idx="9">
                  <c:v>2/10</c:v>
                </c:pt>
                <c:pt idx="10">
                  <c:v>2/11</c:v>
                </c:pt>
                <c:pt idx="11">
                  <c:v>2/12</c:v>
                </c:pt>
                <c:pt idx="12">
                  <c:v>2/13</c:v>
                </c:pt>
                <c:pt idx="13">
                  <c:v>2/14</c:v>
                </c:pt>
                <c:pt idx="14">
                  <c:v>2/15</c:v>
                </c:pt>
                <c:pt idx="15">
                  <c:v>2/16</c:v>
                </c:pt>
                <c:pt idx="16">
                  <c:v>2/17</c:v>
                </c:pt>
                <c:pt idx="17">
                  <c:v>2/18</c:v>
                </c:pt>
                <c:pt idx="18">
                  <c:v>2/19</c:v>
                </c:pt>
                <c:pt idx="19">
                  <c:v>2/20</c:v>
                </c:pt>
                <c:pt idx="20">
                  <c:v>2/21</c:v>
                </c:pt>
                <c:pt idx="21">
                  <c:v>2/22</c:v>
                </c:pt>
                <c:pt idx="22">
                  <c:v>2/23</c:v>
                </c:pt>
                <c:pt idx="23">
                  <c:v>2/24</c:v>
                </c:pt>
                <c:pt idx="24">
                  <c:v>2/25</c:v>
                </c:pt>
                <c:pt idx="25">
                  <c:v>2/26</c:v>
                </c:pt>
                <c:pt idx="26">
                  <c:v>2/27</c:v>
                </c:pt>
                <c:pt idx="27">
                  <c:v>2/28</c:v>
                </c:pt>
              </c:strCache>
            </c:strRef>
          </c:cat>
          <c:val>
            <c:numRef>
              <c:f>'2月CEMS日監測'!$E$111:$AF$111</c:f>
              <c:numCache>
                <c:formatCode>General</c:formatCode>
                <c:ptCount val="28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  <c:pt idx="7">
                  <c:v>30</c:v>
                </c:pt>
                <c:pt idx="8">
                  <c:v>30</c:v>
                </c:pt>
                <c:pt idx="9">
                  <c:v>30</c:v>
                </c:pt>
                <c:pt idx="10">
                  <c:v>30</c:v>
                </c:pt>
                <c:pt idx="11">
                  <c:v>30</c:v>
                </c:pt>
                <c:pt idx="12">
                  <c:v>30</c:v>
                </c:pt>
                <c:pt idx="13">
                  <c:v>30</c:v>
                </c:pt>
                <c:pt idx="14">
                  <c:v>30</c:v>
                </c:pt>
                <c:pt idx="15">
                  <c:v>30</c:v>
                </c:pt>
                <c:pt idx="16">
                  <c:v>30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  <c:pt idx="20">
                  <c:v>30</c:v>
                </c:pt>
                <c:pt idx="21">
                  <c:v>30</c:v>
                </c:pt>
                <c:pt idx="22">
                  <c:v>30</c:v>
                </c:pt>
                <c:pt idx="23">
                  <c:v>30</c:v>
                </c:pt>
                <c:pt idx="24">
                  <c:v>30</c:v>
                </c:pt>
                <c:pt idx="25">
                  <c:v>30</c:v>
                </c:pt>
                <c:pt idx="26">
                  <c:v>30</c:v>
                </c:pt>
                <c:pt idx="27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889-41C3-BE5D-A8B4C372E3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59695264"/>
        <c:axId val="-59695808"/>
      </c:lineChart>
      <c:catAx>
        <c:axId val="-59695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/>
          <a:lstStyle/>
          <a:p>
            <a:pPr>
              <a:defRPr sz="1100">
                <a:latin typeface="標楷體" panose="03000509000000000000" pitchFamily="65" charset="-120"/>
                <a:ea typeface="標楷體" panose="03000509000000000000" pitchFamily="65" charset="-120"/>
              </a:defRPr>
            </a:pPr>
            <a:endParaRPr lang="zh-TW"/>
          </a:p>
        </c:txPr>
        <c:crossAx val="-59695808"/>
        <c:crosses val="autoZero"/>
        <c:auto val="1"/>
        <c:lblAlgn val="ctr"/>
        <c:lblOffset val="100"/>
        <c:noMultiLvlLbl val="0"/>
      </c:catAx>
      <c:valAx>
        <c:axId val="-59695808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vert="horz"/>
          <a:lstStyle/>
          <a:p>
            <a:pPr>
              <a:defRPr sz="1100">
                <a:latin typeface="Times New Roman" panose="02020603050405020304" pitchFamily="18" charset="0"/>
                <a:ea typeface="標楷體" panose="03000509000000000000" pitchFamily="65" charset="-120"/>
                <a:cs typeface="Times New Roman" panose="02020603050405020304" pitchFamily="18" charset="0"/>
              </a:defRPr>
            </a:pPr>
            <a:endParaRPr lang="zh-TW"/>
          </a:p>
        </c:txPr>
        <c:crossAx val="-59695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vert="horz"/>
        <a:lstStyle/>
        <a:p>
          <a:pPr>
            <a:defRPr sz="1100">
              <a:latin typeface="標楷體" panose="03000509000000000000" pitchFamily="65" charset="-120"/>
              <a:ea typeface="標楷體" panose="03000509000000000000" pitchFamily="65" charset="-120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  <a:latin typeface="微軟正黑體" panose="020B0604030504040204" pitchFamily="34" charset="-120"/>
          <a:ea typeface="微軟正黑體" panose="020B0604030504040204" pitchFamily="34" charset="-120"/>
        </a:defRPr>
      </a:pPr>
      <a:endParaRPr lang="zh-TW"/>
    </a:p>
  </c:txPr>
  <c:printSettings>
    <c:headerFooter/>
    <c:pageMargins b="0.750000000000002" l="0.70000000000000062" r="0.70000000000000062" t="0.750000000000002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vert="horz"/>
          <a:lstStyle/>
          <a:p>
            <a:pPr>
              <a:defRPr sz="1400">
                <a:latin typeface="Times New Roman" panose="02020603050405020304" pitchFamily="18" charset="0"/>
                <a:ea typeface="標楷體" panose="03000509000000000000" pitchFamily="65" charset="-120"/>
                <a:cs typeface="Times New Roman" panose="02020603050405020304" pitchFamily="18" charset="0"/>
              </a:defRPr>
            </a:pPr>
            <a:r>
              <a:rPr lang="en-US" sz="1400" b="0">
                <a:latin typeface="Times New Roman" panose="02020603050405020304" pitchFamily="18" charset="0"/>
                <a:ea typeface="標楷體" panose="03000509000000000000" pitchFamily="65" charset="-120"/>
                <a:cs typeface="Times New Roman" panose="02020603050405020304" pitchFamily="18" charset="0"/>
              </a:rPr>
              <a:t>NOx</a:t>
            </a:r>
            <a:r>
              <a:rPr lang="zh-TW" altLang="zh-TW" sz="1400" b="0" i="0" u="none" strike="noStrike" baseline="0">
                <a:effectLst/>
                <a:latin typeface="Times New Roman" panose="02020603050405020304" pitchFamily="18" charset="0"/>
                <a:ea typeface="標楷體" panose="03000509000000000000" pitchFamily="65" charset="-120"/>
                <a:cs typeface="Times New Roman" panose="02020603050405020304" pitchFamily="18" charset="0"/>
              </a:rPr>
              <a:t>每日平均值</a:t>
            </a:r>
            <a:r>
              <a:rPr lang="en-US" altLang="zh-TW" sz="1400" b="0" i="0" u="none" strike="noStrike" baseline="0">
                <a:effectLst/>
                <a:latin typeface="Times New Roman" panose="02020603050405020304" pitchFamily="18" charset="0"/>
                <a:ea typeface="標楷體" panose="03000509000000000000" pitchFamily="65" charset="-120"/>
                <a:cs typeface="Times New Roman" panose="02020603050405020304" pitchFamily="18" charset="0"/>
              </a:rPr>
              <a:t>(ppm)</a:t>
            </a:r>
            <a:endParaRPr lang="zh-TW" sz="1400">
              <a:latin typeface="Times New Roman" panose="02020603050405020304" pitchFamily="18" charset="0"/>
              <a:ea typeface="標楷體" panose="03000509000000000000" pitchFamily="65" charset="-12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2224847338219662"/>
          <c:y val="0.14226618710718927"/>
          <c:w val="0.85503136179658767"/>
          <c:h val="0.62671309968453093"/>
        </c:manualLayout>
      </c:layout>
      <c:lineChart>
        <c:grouping val="standard"/>
        <c:varyColors val="0"/>
        <c:ser>
          <c:idx val="0"/>
          <c:order val="0"/>
          <c:tx>
            <c:strRef>
              <c:f>'1月CEMS日監測'!$C$10</c:f>
              <c:strCache>
                <c:ptCount val="1"/>
                <c:pt idx="0">
                  <c:v>P101</c:v>
                </c:pt>
              </c:strCache>
            </c:strRef>
          </c:tx>
          <c:marker>
            <c:symbol val="none"/>
          </c:marker>
          <c:cat>
            <c:strRef>
              <c:f>'1月CEMS日監測'!$E$2:$AI$2</c:f>
              <c:strCache>
                <c:ptCount val="31"/>
                <c:pt idx="0">
                  <c:v>1/1</c:v>
                </c:pt>
                <c:pt idx="1">
                  <c:v>1/2</c:v>
                </c:pt>
                <c:pt idx="2">
                  <c:v>1/3</c:v>
                </c:pt>
                <c:pt idx="3">
                  <c:v>1/4</c:v>
                </c:pt>
                <c:pt idx="4">
                  <c:v>1/5</c:v>
                </c:pt>
                <c:pt idx="5">
                  <c:v>1/6</c:v>
                </c:pt>
                <c:pt idx="6">
                  <c:v>1/7</c:v>
                </c:pt>
                <c:pt idx="7">
                  <c:v>1/8</c:v>
                </c:pt>
                <c:pt idx="8">
                  <c:v>1/9</c:v>
                </c:pt>
                <c:pt idx="9">
                  <c:v>1/10</c:v>
                </c:pt>
                <c:pt idx="10">
                  <c:v>1/11</c:v>
                </c:pt>
                <c:pt idx="11">
                  <c:v>1/12</c:v>
                </c:pt>
                <c:pt idx="12">
                  <c:v>1/13</c:v>
                </c:pt>
                <c:pt idx="13">
                  <c:v>1/14</c:v>
                </c:pt>
                <c:pt idx="14">
                  <c:v>1/15</c:v>
                </c:pt>
                <c:pt idx="15">
                  <c:v>1/16</c:v>
                </c:pt>
                <c:pt idx="16">
                  <c:v>1/17</c:v>
                </c:pt>
                <c:pt idx="17">
                  <c:v>1/18</c:v>
                </c:pt>
                <c:pt idx="18">
                  <c:v>1/19</c:v>
                </c:pt>
                <c:pt idx="19">
                  <c:v>1/20</c:v>
                </c:pt>
                <c:pt idx="20">
                  <c:v>1/21</c:v>
                </c:pt>
                <c:pt idx="21">
                  <c:v>1/22</c:v>
                </c:pt>
                <c:pt idx="22">
                  <c:v>1/23</c:v>
                </c:pt>
                <c:pt idx="23">
                  <c:v>1/24</c:v>
                </c:pt>
                <c:pt idx="24">
                  <c:v>1/25</c:v>
                </c:pt>
                <c:pt idx="25">
                  <c:v>1/26</c:v>
                </c:pt>
                <c:pt idx="26">
                  <c:v>1/27</c:v>
                </c:pt>
                <c:pt idx="27">
                  <c:v>1/28</c:v>
                </c:pt>
                <c:pt idx="28">
                  <c:v>1/29</c:v>
                </c:pt>
                <c:pt idx="29">
                  <c:v>1/30</c:v>
                </c:pt>
                <c:pt idx="30">
                  <c:v>1/31</c:v>
                </c:pt>
              </c:strCache>
            </c:strRef>
          </c:cat>
          <c:val>
            <c:numRef>
              <c:f>'1月CEMS日監測'!$E$12:$AI$12</c:f>
              <c:numCache>
                <c:formatCode>0.00_);[Red]\(0.00\)</c:formatCode>
                <c:ptCount val="31"/>
                <c:pt idx="0">
                  <c:v>54.65</c:v>
                </c:pt>
                <c:pt idx="1">
                  <c:v>55.98</c:v>
                </c:pt>
                <c:pt idx="2">
                  <c:v>58.43</c:v>
                </c:pt>
                <c:pt idx="3">
                  <c:v>60.43</c:v>
                </c:pt>
                <c:pt idx="4">
                  <c:v>63.69</c:v>
                </c:pt>
                <c:pt idx="5">
                  <c:v>63.02</c:v>
                </c:pt>
                <c:pt idx="6">
                  <c:v>59.7</c:v>
                </c:pt>
                <c:pt idx="7">
                  <c:v>62.13</c:v>
                </c:pt>
                <c:pt idx="8">
                  <c:v>60.83</c:v>
                </c:pt>
                <c:pt idx="9">
                  <c:v>61.97</c:v>
                </c:pt>
                <c:pt idx="10">
                  <c:v>59.75</c:v>
                </c:pt>
                <c:pt idx="11">
                  <c:v>60.17</c:v>
                </c:pt>
                <c:pt idx="12">
                  <c:v>57.92</c:v>
                </c:pt>
                <c:pt idx="13">
                  <c:v>62.79</c:v>
                </c:pt>
                <c:pt idx="14">
                  <c:v>61.76</c:v>
                </c:pt>
                <c:pt idx="15">
                  <c:v>62.25</c:v>
                </c:pt>
                <c:pt idx="16">
                  <c:v>62.41</c:v>
                </c:pt>
                <c:pt idx="17">
                  <c:v>60.35</c:v>
                </c:pt>
                <c:pt idx="18">
                  <c:v>55.53</c:v>
                </c:pt>
                <c:pt idx="19">
                  <c:v>58.47</c:v>
                </c:pt>
                <c:pt idx="20">
                  <c:v>62.44</c:v>
                </c:pt>
                <c:pt idx="21">
                  <c:v>61.56</c:v>
                </c:pt>
                <c:pt idx="22">
                  <c:v>58.84</c:v>
                </c:pt>
                <c:pt idx="23">
                  <c:v>58.78</c:v>
                </c:pt>
                <c:pt idx="24">
                  <c:v>58.67</c:v>
                </c:pt>
                <c:pt idx="25">
                  <c:v>58.13</c:v>
                </c:pt>
                <c:pt idx="26">
                  <c:v>57.17</c:v>
                </c:pt>
                <c:pt idx="27">
                  <c:v>62.05</c:v>
                </c:pt>
                <c:pt idx="28">
                  <c:v>61.96</c:v>
                </c:pt>
                <c:pt idx="29">
                  <c:v>60.33</c:v>
                </c:pt>
                <c:pt idx="30">
                  <c:v>60.05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E16-41D5-A0B9-EA34DD3E39D5}"/>
            </c:ext>
          </c:extLst>
        </c:ser>
        <c:ser>
          <c:idx val="1"/>
          <c:order val="1"/>
          <c:tx>
            <c:strRef>
              <c:f>'1月CEMS日監測'!$C$13</c:f>
              <c:strCache>
                <c:ptCount val="1"/>
                <c:pt idx="0">
                  <c:v>P201</c:v>
                </c:pt>
              </c:strCache>
            </c:strRef>
          </c:tx>
          <c:marker>
            <c:symbol val="none"/>
          </c:marker>
          <c:cat>
            <c:strRef>
              <c:f>'1月CEMS日監測'!$E$2:$AI$2</c:f>
              <c:strCache>
                <c:ptCount val="31"/>
                <c:pt idx="0">
                  <c:v>1/1</c:v>
                </c:pt>
                <c:pt idx="1">
                  <c:v>1/2</c:v>
                </c:pt>
                <c:pt idx="2">
                  <c:v>1/3</c:v>
                </c:pt>
                <c:pt idx="3">
                  <c:v>1/4</c:v>
                </c:pt>
                <c:pt idx="4">
                  <c:v>1/5</c:v>
                </c:pt>
                <c:pt idx="5">
                  <c:v>1/6</c:v>
                </c:pt>
                <c:pt idx="6">
                  <c:v>1/7</c:v>
                </c:pt>
                <c:pt idx="7">
                  <c:v>1/8</c:v>
                </c:pt>
                <c:pt idx="8">
                  <c:v>1/9</c:v>
                </c:pt>
                <c:pt idx="9">
                  <c:v>1/10</c:v>
                </c:pt>
                <c:pt idx="10">
                  <c:v>1/11</c:v>
                </c:pt>
                <c:pt idx="11">
                  <c:v>1/12</c:v>
                </c:pt>
                <c:pt idx="12">
                  <c:v>1/13</c:v>
                </c:pt>
                <c:pt idx="13">
                  <c:v>1/14</c:v>
                </c:pt>
                <c:pt idx="14">
                  <c:v>1/15</c:v>
                </c:pt>
                <c:pt idx="15">
                  <c:v>1/16</c:v>
                </c:pt>
                <c:pt idx="16">
                  <c:v>1/17</c:v>
                </c:pt>
                <c:pt idx="17">
                  <c:v>1/18</c:v>
                </c:pt>
                <c:pt idx="18">
                  <c:v>1/19</c:v>
                </c:pt>
                <c:pt idx="19">
                  <c:v>1/20</c:v>
                </c:pt>
                <c:pt idx="20">
                  <c:v>1/21</c:v>
                </c:pt>
                <c:pt idx="21">
                  <c:v>1/22</c:v>
                </c:pt>
                <c:pt idx="22">
                  <c:v>1/23</c:v>
                </c:pt>
                <c:pt idx="23">
                  <c:v>1/24</c:v>
                </c:pt>
                <c:pt idx="24">
                  <c:v>1/25</c:v>
                </c:pt>
                <c:pt idx="25">
                  <c:v>1/26</c:v>
                </c:pt>
                <c:pt idx="26">
                  <c:v>1/27</c:v>
                </c:pt>
                <c:pt idx="27">
                  <c:v>1/28</c:v>
                </c:pt>
                <c:pt idx="28">
                  <c:v>1/29</c:v>
                </c:pt>
                <c:pt idx="29">
                  <c:v>1/30</c:v>
                </c:pt>
                <c:pt idx="30">
                  <c:v>1/31</c:v>
                </c:pt>
              </c:strCache>
            </c:strRef>
          </c:cat>
          <c:val>
            <c:numRef>
              <c:f>'1月CEMS日監測'!$E$15:$AI$15</c:f>
              <c:numCache>
                <c:formatCode>0.00_);[Red]\(0.00\)</c:formatCode>
                <c:ptCount val="31"/>
                <c:pt idx="0">
                  <c:v>53.62</c:v>
                </c:pt>
                <c:pt idx="1">
                  <c:v>52.41</c:v>
                </c:pt>
                <c:pt idx="2">
                  <c:v>54.19</c:v>
                </c:pt>
                <c:pt idx="3">
                  <c:v>54.39</c:v>
                </c:pt>
                <c:pt idx="4">
                  <c:v>51.14</c:v>
                </c:pt>
                <c:pt idx="5">
                  <c:v>46.05</c:v>
                </c:pt>
                <c:pt idx="6">
                  <c:v>52.91</c:v>
                </c:pt>
                <c:pt idx="7">
                  <c:v>52.09</c:v>
                </c:pt>
                <c:pt idx="8">
                  <c:v>53.74</c:v>
                </c:pt>
                <c:pt idx="9">
                  <c:v>51.98</c:v>
                </c:pt>
                <c:pt idx="10">
                  <c:v>52.95</c:v>
                </c:pt>
                <c:pt idx="11">
                  <c:v>53.49</c:v>
                </c:pt>
                <c:pt idx="12">
                  <c:v>49.47</c:v>
                </c:pt>
                <c:pt idx="13">
                  <c:v>49.06</c:v>
                </c:pt>
                <c:pt idx="14">
                  <c:v>49.04</c:v>
                </c:pt>
                <c:pt idx="15">
                  <c:v>52.36</c:v>
                </c:pt>
                <c:pt idx="16">
                  <c:v>52.44</c:v>
                </c:pt>
                <c:pt idx="17">
                  <c:v>53.83</c:v>
                </c:pt>
                <c:pt idx="18">
                  <c:v>55.41</c:v>
                </c:pt>
                <c:pt idx="19">
                  <c:v>55.15</c:v>
                </c:pt>
                <c:pt idx="20">
                  <c:v>61.64</c:v>
                </c:pt>
                <c:pt idx="21">
                  <c:v>60.47</c:v>
                </c:pt>
                <c:pt idx="22">
                  <c:v>59.06</c:v>
                </c:pt>
                <c:pt idx="23">
                  <c:v>56.69</c:v>
                </c:pt>
                <c:pt idx="24">
                  <c:v>54.03</c:v>
                </c:pt>
                <c:pt idx="25">
                  <c:v>53.37</c:v>
                </c:pt>
                <c:pt idx="26">
                  <c:v>45.12</c:v>
                </c:pt>
                <c:pt idx="27">
                  <c:v>48.72</c:v>
                </c:pt>
                <c:pt idx="28">
                  <c:v>51.15</c:v>
                </c:pt>
                <c:pt idx="29">
                  <c:v>46.51</c:v>
                </c:pt>
                <c:pt idx="30">
                  <c:v>48.21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E16-41D5-A0B9-EA34DD3E39D5}"/>
            </c:ext>
          </c:extLst>
        </c:ser>
        <c:ser>
          <c:idx val="3"/>
          <c:order val="2"/>
          <c:tx>
            <c:strRef>
              <c:f>'1月CEMS日監測'!$D$107</c:f>
              <c:strCache>
                <c:ptCount val="1"/>
                <c:pt idx="0">
                  <c:v>契約限值</c:v>
                </c:pt>
              </c:strCache>
            </c:strRef>
          </c:tx>
          <c:marker>
            <c:symbol val="none"/>
          </c:marker>
          <c:cat>
            <c:strRef>
              <c:f>'1月CEMS日監測'!$E$2:$AI$2</c:f>
              <c:strCache>
                <c:ptCount val="31"/>
                <c:pt idx="0">
                  <c:v>1/1</c:v>
                </c:pt>
                <c:pt idx="1">
                  <c:v>1/2</c:v>
                </c:pt>
                <c:pt idx="2">
                  <c:v>1/3</c:v>
                </c:pt>
                <c:pt idx="3">
                  <c:v>1/4</c:v>
                </c:pt>
                <c:pt idx="4">
                  <c:v>1/5</c:v>
                </c:pt>
                <c:pt idx="5">
                  <c:v>1/6</c:v>
                </c:pt>
                <c:pt idx="6">
                  <c:v>1/7</c:v>
                </c:pt>
                <c:pt idx="7">
                  <c:v>1/8</c:v>
                </c:pt>
                <c:pt idx="8">
                  <c:v>1/9</c:v>
                </c:pt>
                <c:pt idx="9">
                  <c:v>1/10</c:v>
                </c:pt>
                <c:pt idx="10">
                  <c:v>1/11</c:v>
                </c:pt>
                <c:pt idx="11">
                  <c:v>1/12</c:v>
                </c:pt>
                <c:pt idx="12">
                  <c:v>1/13</c:v>
                </c:pt>
                <c:pt idx="13">
                  <c:v>1/14</c:v>
                </c:pt>
                <c:pt idx="14">
                  <c:v>1/15</c:v>
                </c:pt>
                <c:pt idx="15">
                  <c:v>1/16</c:v>
                </c:pt>
                <c:pt idx="16">
                  <c:v>1/17</c:v>
                </c:pt>
                <c:pt idx="17">
                  <c:v>1/18</c:v>
                </c:pt>
                <c:pt idx="18">
                  <c:v>1/19</c:v>
                </c:pt>
                <c:pt idx="19">
                  <c:v>1/20</c:v>
                </c:pt>
                <c:pt idx="20">
                  <c:v>1/21</c:v>
                </c:pt>
                <c:pt idx="21">
                  <c:v>1/22</c:v>
                </c:pt>
                <c:pt idx="22">
                  <c:v>1/23</c:v>
                </c:pt>
                <c:pt idx="23">
                  <c:v>1/24</c:v>
                </c:pt>
                <c:pt idx="24">
                  <c:v>1/25</c:v>
                </c:pt>
                <c:pt idx="25">
                  <c:v>1/26</c:v>
                </c:pt>
                <c:pt idx="26">
                  <c:v>1/27</c:v>
                </c:pt>
                <c:pt idx="27">
                  <c:v>1/28</c:v>
                </c:pt>
                <c:pt idx="28">
                  <c:v>1/29</c:v>
                </c:pt>
                <c:pt idx="29">
                  <c:v>1/30</c:v>
                </c:pt>
                <c:pt idx="30">
                  <c:v>1/31</c:v>
                </c:pt>
              </c:strCache>
            </c:strRef>
          </c:cat>
          <c:val>
            <c:numRef>
              <c:f>'1月CEMS日監測'!$E$109:$AH$109</c:f>
              <c:numCache>
                <c:formatCode>General</c:formatCode>
                <c:ptCount val="30"/>
                <c:pt idx="0">
                  <c:v>70</c:v>
                </c:pt>
                <c:pt idx="1">
                  <c:v>70</c:v>
                </c:pt>
                <c:pt idx="2">
                  <c:v>70</c:v>
                </c:pt>
                <c:pt idx="3">
                  <c:v>70</c:v>
                </c:pt>
                <c:pt idx="4">
                  <c:v>70</c:v>
                </c:pt>
                <c:pt idx="5">
                  <c:v>70</c:v>
                </c:pt>
                <c:pt idx="6">
                  <c:v>70</c:v>
                </c:pt>
                <c:pt idx="7">
                  <c:v>70</c:v>
                </c:pt>
                <c:pt idx="8">
                  <c:v>70</c:v>
                </c:pt>
                <c:pt idx="9">
                  <c:v>70</c:v>
                </c:pt>
                <c:pt idx="10">
                  <c:v>70</c:v>
                </c:pt>
                <c:pt idx="11">
                  <c:v>70</c:v>
                </c:pt>
                <c:pt idx="12">
                  <c:v>70</c:v>
                </c:pt>
                <c:pt idx="13">
                  <c:v>70</c:v>
                </c:pt>
                <c:pt idx="14">
                  <c:v>70</c:v>
                </c:pt>
                <c:pt idx="15">
                  <c:v>70</c:v>
                </c:pt>
                <c:pt idx="16">
                  <c:v>70</c:v>
                </c:pt>
                <c:pt idx="17">
                  <c:v>70</c:v>
                </c:pt>
                <c:pt idx="18">
                  <c:v>70</c:v>
                </c:pt>
                <c:pt idx="19">
                  <c:v>70</c:v>
                </c:pt>
                <c:pt idx="20">
                  <c:v>70</c:v>
                </c:pt>
                <c:pt idx="21">
                  <c:v>70</c:v>
                </c:pt>
                <c:pt idx="22">
                  <c:v>70</c:v>
                </c:pt>
                <c:pt idx="23">
                  <c:v>70</c:v>
                </c:pt>
                <c:pt idx="24">
                  <c:v>70</c:v>
                </c:pt>
                <c:pt idx="25">
                  <c:v>70</c:v>
                </c:pt>
                <c:pt idx="26">
                  <c:v>70</c:v>
                </c:pt>
                <c:pt idx="27">
                  <c:v>70</c:v>
                </c:pt>
                <c:pt idx="28">
                  <c:v>70</c:v>
                </c:pt>
                <c:pt idx="29">
                  <c:v>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E16-41D5-A0B9-EA34DD3E39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59699616"/>
        <c:axId val="-59702880"/>
      </c:lineChart>
      <c:catAx>
        <c:axId val="-59699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/>
          <a:lstStyle/>
          <a:p>
            <a:pPr>
              <a:defRPr/>
            </a:pPr>
            <a:endParaRPr lang="zh-TW"/>
          </a:p>
        </c:txPr>
        <c:crossAx val="-59702880"/>
        <c:crosses val="autoZero"/>
        <c:auto val="1"/>
        <c:lblAlgn val="ctr"/>
        <c:lblOffset val="100"/>
        <c:noMultiLvlLbl val="0"/>
      </c:catAx>
      <c:valAx>
        <c:axId val="-59702880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vert="horz"/>
          <a:lstStyle/>
          <a:p>
            <a:pPr>
              <a:defRPr sz="11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endParaRPr lang="zh-TW"/>
          </a:p>
        </c:txPr>
        <c:crossAx val="-59699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vert="horz"/>
        <a:lstStyle/>
        <a:p>
          <a:pPr>
            <a:defRPr/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  <a:latin typeface="標楷體" panose="03000509000000000000" pitchFamily="65" charset="-120"/>
          <a:ea typeface="標楷體" panose="03000509000000000000" pitchFamily="65" charset="-120"/>
        </a:defRPr>
      </a:pPr>
      <a:endParaRPr lang="zh-TW"/>
    </a:p>
  </c:txPr>
  <c:printSettings>
    <c:headerFooter/>
    <c:pageMargins b="0.750000000000002" l="0.70000000000000062" r="0.70000000000000062" t="0.750000000000002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vert="horz"/>
          <a:lstStyle/>
          <a:p>
            <a:pPr>
              <a:defRPr sz="1400">
                <a:latin typeface="Times New Roman" panose="02020603050405020304" pitchFamily="18" charset="0"/>
                <a:ea typeface="標楷體" panose="03000509000000000000" pitchFamily="65" charset="-120"/>
                <a:cs typeface="Times New Roman" panose="02020603050405020304" pitchFamily="18" charset="0"/>
              </a:defRPr>
            </a:pPr>
            <a:r>
              <a:rPr lang="en-US" sz="1400" b="0">
                <a:latin typeface="Times New Roman" panose="02020603050405020304" pitchFamily="18" charset="0"/>
                <a:ea typeface="標楷體" panose="03000509000000000000" pitchFamily="65" charset="-120"/>
                <a:cs typeface="Times New Roman" panose="02020603050405020304" pitchFamily="18" charset="0"/>
              </a:rPr>
              <a:t>CO</a:t>
            </a:r>
            <a:r>
              <a:rPr lang="zh-TW" altLang="zh-TW" sz="1400" b="0" i="0" u="none" strike="noStrike" baseline="0">
                <a:effectLst/>
                <a:latin typeface="Times New Roman" panose="02020603050405020304" pitchFamily="18" charset="0"/>
                <a:ea typeface="標楷體" panose="03000509000000000000" pitchFamily="65" charset="-120"/>
                <a:cs typeface="Times New Roman" panose="02020603050405020304" pitchFamily="18" charset="0"/>
              </a:rPr>
              <a:t>每日平均值</a:t>
            </a:r>
            <a:r>
              <a:rPr lang="en-US" altLang="zh-TW" sz="1400" b="0" i="0" u="none" strike="noStrike" baseline="0">
                <a:effectLst/>
                <a:latin typeface="Times New Roman" panose="02020603050405020304" pitchFamily="18" charset="0"/>
                <a:ea typeface="標楷體" panose="03000509000000000000" pitchFamily="65" charset="-120"/>
                <a:cs typeface="Times New Roman" panose="02020603050405020304" pitchFamily="18" charset="0"/>
              </a:rPr>
              <a:t>(ppm)</a:t>
            </a:r>
            <a:endParaRPr lang="zh-TW" sz="1400">
              <a:latin typeface="Times New Roman" panose="02020603050405020304" pitchFamily="18" charset="0"/>
              <a:ea typeface="標楷體" panose="03000509000000000000" pitchFamily="65" charset="-120"/>
              <a:cs typeface="Times New Roman" panose="02020603050405020304" pitchFamily="18" charset="0"/>
            </a:endParaRPr>
          </a:p>
        </c:rich>
      </c:tx>
      <c:layout>
        <c:manualLayout>
          <c:xMode val="edge"/>
          <c:yMode val="edge"/>
          <c:x val="0.35552306397306399"/>
          <c:y val="9.4203516684036211E-3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3342967446786749"/>
          <c:y val="0.15351018015951903"/>
          <c:w val="0.83318079678937473"/>
          <c:h val="0.60666955465518402"/>
        </c:manualLayout>
      </c:layout>
      <c:lineChart>
        <c:grouping val="standard"/>
        <c:varyColors val="0"/>
        <c:ser>
          <c:idx val="0"/>
          <c:order val="0"/>
          <c:tx>
            <c:strRef>
              <c:f>'1月CEMS日監測'!$C$16</c:f>
              <c:strCache>
                <c:ptCount val="1"/>
                <c:pt idx="0">
                  <c:v>P101</c:v>
                </c:pt>
              </c:strCache>
            </c:strRef>
          </c:tx>
          <c:marker>
            <c:symbol val="none"/>
          </c:marker>
          <c:cat>
            <c:strRef>
              <c:f>'1月CEMS日監測'!$E$2:$AI$2</c:f>
              <c:strCache>
                <c:ptCount val="31"/>
                <c:pt idx="0">
                  <c:v>1/1</c:v>
                </c:pt>
                <c:pt idx="1">
                  <c:v>1/2</c:v>
                </c:pt>
                <c:pt idx="2">
                  <c:v>1/3</c:v>
                </c:pt>
                <c:pt idx="3">
                  <c:v>1/4</c:v>
                </c:pt>
                <c:pt idx="4">
                  <c:v>1/5</c:v>
                </c:pt>
                <c:pt idx="5">
                  <c:v>1/6</c:v>
                </c:pt>
                <c:pt idx="6">
                  <c:v>1/7</c:v>
                </c:pt>
                <c:pt idx="7">
                  <c:v>1/8</c:v>
                </c:pt>
                <c:pt idx="8">
                  <c:v>1/9</c:v>
                </c:pt>
                <c:pt idx="9">
                  <c:v>1/10</c:v>
                </c:pt>
                <c:pt idx="10">
                  <c:v>1/11</c:v>
                </c:pt>
                <c:pt idx="11">
                  <c:v>1/12</c:v>
                </c:pt>
                <c:pt idx="12">
                  <c:v>1/13</c:v>
                </c:pt>
                <c:pt idx="13">
                  <c:v>1/14</c:v>
                </c:pt>
                <c:pt idx="14">
                  <c:v>1/15</c:v>
                </c:pt>
                <c:pt idx="15">
                  <c:v>1/16</c:v>
                </c:pt>
                <c:pt idx="16">
                  <c:v>1/17</c:v>
                </c:pt>
                <c:pt idx="17">
                  <c:v>1/18</c:v>
                </c:pt>
                <c:pt idx="18">
                  <c:v>1/19</c:v>
                </c:pt>
                <c:pt idx="19">
                  <c:v>1/20</c:v>
                </c:pt>
                <c:pt idx="20">
                  <c:v>1/21</c:v>
                </c:pt>
                <c:pt idx="21">
                  <c:v>1/22</c:v>
                </c:pt>
                <c:pt idx="22">
                  <c:v>1/23</c:v>
                </c:pt>
                <c:pt idx="23">
                  <c:v>1/24</c:v>
                </c:pt>
                <c:pt idx="24">
                  <c:v>1/25</c:v>
                </c:pt>
                <c:pt idx="25">
                  <c:v>1/26</c:v>
                </c:pt>
                <c:pt idx="26">
                  <c:v>1/27</c:v>
                </c:pt>
                <c:pt idx="27">
                  <c:v>1/28</c:v>
                </c:pt>
                <c:pt idx="28">
                  <c:v>1/29</c:v>
                </c:pt>
                <c:pt idx="29">
                  <c:v>1/30</c:v>
                </c:pt>
                <c:pt idx="30">
                  <c:v>1/31</c:v>
                </c:pt>
              </c:strCache>
            </c:strRef>
          </c:cat>
          <c:val>
            <c:numRef>
              <c:f>'1月CEMS日監測'!$E$18:$AI$18</c:f>
              <c:numCache>
                <c:formatCode>0.00_);[Red]\(0.00\)</c:formatCode>
                <c:ptCount val="31"/>
                <c:pt idx="0">
                  <c:v>21.57</c:v>
                </c:pt>
                <c:pt idx="1">
                  <c:v>24.72</c:v>
                </c:pt>
                <c:pt idx="2">
                  <c:v>14.94</c:v>
                </c:pt>
                <c:pt idx="3">
                  <c:v>19.64</c:v>
                </c:pt>
                <c:pt idx="4">
                  <c:v>24.51</c:v>
                </c:pt>
                <c:pt idx="5">
                  <c:v>24.16</c:v>
                </c:pt>
                <c:pt idx="6">
                  <c:v>27.26</c:v>
                </c:pt>
                <c:pt idx="7">
                  <c:v>28.25</c:v>
                </c:pt>
                <c:pt idx="8">
                  <c:v>22.36</c:v>
                </c:pt>
                <c:pt idx="9">
                  <c:v>25.1</c:v>
                </c:pt>
                <c:pt idx="10">
                  <c:v>12.24</c:v>
                </c:pt>
                <c:pt idx="11">
                  <c:v>15</c:v>
                </c:pt>
                <c:pt idx="12">
                  <c:v>21.65</c:v>
                </c:pt>
                <c:pt idx="13">
                  <c:v>18.690000000000001</c:v>
                </c:pt>
                <c:pt idx="14">
                  <c:v>20.48</c:v>
                </c:pt>
                <c:pt idx="15">
                  <c:v>26.61</c:v>
                </c:pt>
                <c:pt idx="16">
                  <c:v>24.66</c:v>
                </c:pt>
                <c:pt idx="17">
                  <c:v>23.98</c:v>
                </c:pt>
                <c:pt idx="18">
                  <c:v>24.33</c:v>
                </c:pt>
                <c:pt idx="19">
                  <c:v>12.33</c:v>
                </c:pt>
                <c:pt idx="20">
                  <c:v>25.25</c:v>
                </c:pt>
                <c:pt idx="21">
                  <c:v>15.87</c:v>
                </c:pt>
                <c:pt idx="22">
                  <c:v>17.25</c:v>
                </c:pt>
                <c:pt idx="23">
                  <c:v>12.6</c:v>
                </c:pt>
                <c:pt idx="24">
                  <c:v>18.97</c:v>
                </c:pt>
                <c:pt idx="25">
                  <c:v>24.21</c:v>
                </c:pt>
                <c:pt idx="26">
                  <c:v>22.89</c:v>
                </c:pt>
                <c:pt idx="27">
                  <c:v>23.91</c:v>
                </c:pt>
                <c:pt idx="28">
                  <c:v>29.61</c:v>
                </c:pt>
                <c:pt idx="29">
                  <c:v>16.600000000000001</c:v>
                </c:pt>
                <c:pt idx="30">
                  <c:v>20.02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9B8-477F-92D2-2E8502ACD716}"/>
            </c:ext>
          </c:extLst>
        </c:ser>
        <c:ser>
          <c:idx val="1"/>
          <c:order val="1"/>
          <c:tx>
            <c:strRef>
              <c:f>'1月CEMS日監測'!$C$19</c:f>
              <c:strCache>
                <c:ptCount val="1"/>
                <c:pt idx="0">
                  <c:v>P201</c:v>
                </c:pt>
              </c:strCache>
            </c:strRef>
          </c:tx>
          <c:marker>
            <c:symbol val="none"/>
          </c:marker>
          <c:cat>
            <c:strRef>
              <c:f>'1月CEMS日監測'!$E$2:$AI$2</c:f>
              <c:strCache>
                <c:ptCount val="31"/>
                <c:pt idx="0">
                  <c:v>1/1</c:v>
                </c:pt>
                <c:pt idx="1">
                  <c:v>1/2</c:v>
                </c:pt>
                <c:pt idx="2">
                  <c:v>1/3</c:v>
                </c:pt>
                <c:pt idx="3">
                  <c:v>1/4</c:v>
                </c:pt>
                <c:pt idx="4">
                  <c:v>1/5</c:v>
                </c:pt>
                <c:pt idx="5">
                  <c:v>1/6</c:v>
                </c:pt>
                <c:pt idx="6">
                  <c:v>1/7</c:v>
                </c:pt>
                <c:pt idx="7">
                  <c:v>1/8</c:v>
                </c:pt>
                <c:pt idx="8">
                  <c:v>1/9</c:v>
                </c:pt>
                <c:pt idx="9">
                  <c:v>1/10</c:v>
                </c:pt>
                <c:pt idx="10">
                  <c:v>1/11</c:v>
                </c:pt>
                <c:pt idx="11">
                  <c:v>1/12</c:v>
                </c:pt>
                <c:pt idx="12">
                  <c:v>1/13</c:v>
                </c:pt>
                <c:pt idx="13">
                  <c:v>1/14</c:v>
                </c:pt>
                <c:pt idx="14">
                  <c:v>1/15</c:v>
                </c:pt>
                <c:pt idx="15">
                  <c:v>1/16</c:v>
                </c:pt>
                <c:pt idx="16">
                  <c:v>1/17</c:v>
                </c:pt>
                <c:pt idx="17">
                  <c:v>1/18</c:v>
                </c:pt>
                <c:pt idx="18">
                  <c:v>1/19</c:v>
                </c:pt>
                <c:pt idx="19">
                  <c:v>1/20</c:v>
                </c:pt>
                <c:pt idx="20">
                  <c:v>1/21</c:v>
                </c:pt>
                <c:pt idx="21">
                  <c:v>1/22</c:v>
                </c:pt>
                <c:pt idx="22">
                  <c:v>1/23</c:v>
                </c:pt>
                <c:pt idx="23">
                  <c:v>1/24</c:v>
                </c:pt>
                <c:pt idx="24">
                  <c:v>1/25</c:v>
                </c:pt>
                <c:pt idx="25">
                  <c:v>1/26</c:v>
                </c:pt>
                <c:pt idx="26">
                  <c:v>1/27</c:v>
                </c:pt>
                <c:pt idx="27">
                  <c:v>1/28</c:v>
                </c:pt>
                <c:pt idx="28">
                  <c:v>1/29</c:v>
                </c:pt>
                <c:pt idx="29">
                  <c:v>1/30</c:v>
                </c:pt>
                <c:pt idx="30">
                  <c:v>1/31</c:v>
                </c:pt>
              </c:strCache>
            </c:strRef>
          </c:cat>
          <c:val>
            <c:numRef>
              <c:f>'1月CEMS日監測'!$E$21:$AI$21</c:f>
              <c:numCache>
                <c:formatCode>0.00_);[Red]\(0.00\)</c:formatCode>
                <c:ptCount val="31"/>
                <c:pt idx="0">
                  <c:v>26.52</c:v>
                </c:pt>
                <c:pt idx="1">
                  <c:v>31.63</c:v>
                </c:pt>
                <c:pt idx="2">
                  <c:v>26.13</c:v>
                </c:pt>
                <c:pt idx="3">
                  <c:v>24.75</c:v>
                </c:pt>
                <c:pt idx="4">
                  <c:v>28.89</c:v>
                </c:pt>
                <c:pt idx="5">
                  <c:v>24.49</c:v>
                </c:pt>
                <c:pt idx="6">
                  <c:v>35.72</c:v>
                </c:pt>
                <c:pt idx="7">
                  <c:v>33.25</c:v>
                </c:pt>
                <c:pt idx="8">
                  <c:v>32.25</c:v>
                </c:pt>
                <c:pt idx="9">
                  <c:v>21.54</c:v>
                </c:pt>
                <c:pt idx="10">
                  <c:v>25.13</c:v>
                </c:pt>
                <c:pt idx="11">
                  <c:v>20.72</c:v>
                </c:pt>
                <c:pt idx="12">
                  <c:v>32.26</c:v>
                </c:pt>
                <c:pt idx="13">
                  <c:v>33.53</c:v>
                </c:pt>
                <c:pt idx="14">
                  <c:v>33.450000000000003</c:v>
                </c:pt>
                <c:pt idx="15">
                  <c:v>36.07</c:v>
                </c:pt>
                <c:pt idx="16">
                  <c:v>32.9</c:v>
                </c:pt>
                <c:pt idx="17">
                  <c:v>32.630000000000003</c:v>
                </c:pt>
                <c:pt idx="18">
                  <c:v>31.67</c:v>
                </c:pt>
                <c:pt idx="19">
                  <c:v>32.61</c:v>
                </c:pt>
                <c:pt idx="20">
                  <c:v>30.45</c:v>
                </c:pt>
                <c:pt idx="21">
                  <c:v>29.71</c:v>
                </c:pt>
                <c:pt idx="22">
                  <c:v>29.36</c:v>
                </c:pt>
                <c:pt idx="23">
                  <c:v>28.27</c:v>
                </c:pt>
                <c:pt idx="24">
                  <c:v>33.64</c:v>
                </c:pt>
                <c:pt idx="25">
                  <c:v>28.75</c:v>
                </c:pt>
                <c:pt idx="26">
                  <c:v>30.14</c:v>
                </c:pt>
                <c:pt idx="27">
                  <c:v>31.28</c:v>
                </c:pt>
                <c:pt idx="28">
                  <c:v>16.940000000000001</c:v>
                </c:pt>
                <c:pt idx="29">
                  <c:v>22.3</c:v>
                </c:pt>
                <c:pt idx="30">
                  <c:v>21.78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9B8-477F-92D2-2E8502ACD716}"/>
            </c:ext>
          </c:extLst>
        </c:ser>
        <c:ser>
          <c:idx val="3"/>
          <c:order val="2"/>
          <c:tx>
            <c:strRef>
              <c:f>'1月CEMS日監測'!$D$107</c:f>
              <c:strCache>
                <c:ptCount val="1"/>
                <c:pt idx="0">
                  <c:v>契約限值</c:v>
                </c:pt>
              </c:strCache>
            </c:strRef>
          </c:tx>
          <c:marker>
            <c:symbol val="none"/>
          </c:marker>
          <c:cat>
            <c:strRef>
              <c:f>'1月CEMS日監測'!$E$2:$AI$2</c:f>
              <c:strCache>
                <c:ptCount val="31"/>
                <c:pt idx="0">
                  <c:v>1/1</c:v>
                </c:pt>
                <c:pt idx="1">
                  <c:v>1/2</c:v>
                </c:pt>
                <c:pt idx="2">
                  <c:v>1/3</c:v>
                </c:pt>
                <c:pt idx="3">
                  <c:v>1/4</c:v>
                </c:pt>
                <c:pt idx="4">
                  <c:v>1/5</c:v>
                </c:pt>
                <c:pt idx="5">
                  <c:v>1/6</c:v>
                </c:pt>
                <c:pt idx="6">
                  <c:v>1/7</c:v>
                </c:pt>
                <c:pt idx="7">
                  <c:v>1/8</c:v>
                </c:pt>
                <c:pt idx="8">
                  <c:v>1/9</c:v>
                </c:pt>
                <c:pt idx="9">
                  <c:v>1/10</c:v>
                </c:pt>
                <c:pt idx="10">
                  <c:v>1/11</c:v>
                </c:pt>
                <c:pt idx="11">
                  <c:v>1/12</c:v>
                </c:pt>
                <c:pt idx="12">
                  <c:v>1/13</c:v>
                </c:pt>
                <c:pt idx="13">
                  <c:v>1/14</c:v>
                </c:pt>
                <c:pt idx="14">
                  <c:v>1/15</c:v>
                </c:pt>
                <c:pt idx="15">
                  <c:v>1/16</c:v>
                </c:pt>
                <c:pt idx="16">
                  <c:v>1/17</c:v>
                </c:pt>
                <c:pt idx="17">
                  <c:v>1/18</c:v>
                </c:pt>
                <c:pt idx="18">
                  <c:v>1/19</c:v>
                </c:pt>
                <c:pt idx="19">
                  <c:v>1/20</c:v>
                </c:pt>
                <c:pt idx="20">
                  <c:v>1/21</c:v>
                </c:pt>
                <c:pt idx="21">
                  <c:v>1/22</c:v>
                </c:pt>
                <c:pt idx="22">
                  <c:v>1/23</c:v>
                </c:pt>
                <c:pt idx="23">
                  <c:v>1/24</c:v>
                </c:pt>
                <c:pt idx="24">
                  <c:v>1/25</c:v>
                </c:pt>
                <c:pt idx="25">
                  <c:v>1/26</c:v>
                </c:pt>
                <c:pt idx="26">
                  <c:v>1/27</c:v>
                </c:pt>
                <c:pt idx="27">
                  <c:v>1/28</c:v>
                </c:pt>
                <c:pt idx="28">
                  <c:v>1/29</c:v>
                </c:pt>
                <c:pt idx="29">
                  <c:v>1/30</c:v>
                </c:pt>
                <c:pt idx="30">
                  <c:v>1/31</c:v>
                </c:pt>
              </c:strCache>
            </c:strRef>
          </c:cat>
          <c:val>
            <c:numRef>
              <c:f>'1月CEMS日監測'!$E$110:$AH$110</c:f>
              <c:numCache>
                <c:formatCode>General</c:formatCode>
                <c:ptCount val="30"/>
                <c:pt idx="0">
                  <c:v>60</c:v>
                </c:pt>
                <c:pt idx="1">
                  <c:v>60</c:v>
                </c:pt>
                <c:pt idx="2">
                  <c:v>60</c:v>
                </c:pt>
                <c:pt idx="3">
                  <c:v>60</c:v>
                </c:pt>
                <c:pt idx="4">
                  <c:v>60</c:v>
                </c:pt>
                <c:pt idx="5">
                  <c:v>60</c:v>
                </c:pt>
                <c:pt idx="6">
                  <c:v>60</c:v>
                </c:pt>
                <c:pt idx="7">
                  <c:v>60</c:v>
                </c:pt>
                <c:pt idx="8">
                  <c:v>60</c:v>
                </c:pt>
                <c:pt idx="9">
                  <c:v>60</c:v>
                </c:pt>
                <c:pt idx="10">
                  <c:v>60</c:v>
                </c:pt>
                <c:pt idx="11">
                  <c:v>60</c:v>
                </c:pt>
                <c:pt idx="12">
                  <c:v>60</c:v>
                </c:pt>
                <c:pt idx="13">
                  <c:v>60</c:v>
                </c:pt>
                <c:pt idx="14">
                  <c:v>60</c:v>
                </c:pt>
                <c:pt idx="15">
                  <c:v>60</c:v>
                </c:pt>
                <c:pt idx="16">
                  <c:v>60</c:v>
                </c:pt>
                <c:pt idx="17">
                  <c:v>60</c:v>
                </c:pt>
                <c:pt idx="18">
                  <c:v>60</c:v>
                </c:pt>
                <c:pt idx="19">
                  <c:v>60</c:v>
                </c:pt>
                <c:pt idx="20">
                  <c:v>60</c:v>
                </c:pt>
                <c:pt idx="21">
                  <c:v>60</c:v>
                </c:pt>
                <c:pt idx="22">
                  <c:v>60</c:v>
                </c:pt>
                <c:pt idx="23">
                  <c:v>60</c:v>
                </c:pt>
                <c:pt idx="24">
                  <c:v>60</c:v>
                </c:pt>
                <c:pt idx="25">
                  <c:v>60</c:v>
                </c:pt>
                <c:pt idx="26">
                  <c:v>60</c:v>
                </c:pt>
                <c:pt idx="27">
                  <c:v>60</c:v>
                </c:pt>
                <c:pt idx="28">
                  <c:v>60</c:v>
                </c:pt>
                <c:pt idx="29">
                  <c:v>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9B8-477F-92D2-2E8502ACD7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59703424"/>
        <c:axId val="-59694176"/>
      </c:lineChart>
      <c:catAx>
        <c:axId val="-59703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/>
          <a:lstStyle/>
          <a:p>
            <a:pPr>
              <a:defRPr sz="1100">
                <a:latin typeface="標楷體" panose="03000509000000000000" pitchFamily="65" charset="-120"/>
                <a:ea typeface="標楷體" panose="03000509000000000000" pitchFamily="65" charset="-120"/>
              </a:defRPr>
            </a:pPr>
            <a:endParaRPr lang="zh-TW"/>
          </a:p>
        </c:txPr>
        <c:crossAx val="-59694176"/>
        <c:crosses val="autoZero"/>
        <c:auto val="1"/>
        <c:lblAlgn val="ctr"/>
        <c:lblOffset val="100"/>
        <c:noMultiLvlLbl val="0"/>
      </c:catAx>
      <c:valAx>
        <c:axId val="-59694176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vert="horz"/>
          <a:lstStyle/>
          <a:p>
            <a:pPr>
              <a:defRPr sz="1100">
                <a:latin typeface="Times New Roman" panose="02020603050405020304" pitchFamily="18" charset="0"/>
                <a:ea typeface="標楷體" panose="03000509000000000000" pitchFamily="65" charset="-120"/>
                <a:cs typeface="Times New Roman" panose="02020603050405020304" pitchFamily="18" charset="0"/>
              </a:defRPr>
            </a:pPr>
            <a:endParaRPr lang="zh-TW"/>
          </a:p>
        </c:txPr>
        <c:crossAx val="-59703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vert="horz"/>
        <a:lstStyle/>
        <a:p>
          <a:pPr>
            <a:defRPr sz="1100">
              <a:latin typeface="標楷體" panose="03000509000000000000" pitchFamily="65" charset="-120"/>
              <a:ea typeface="標楷體" panose="03000509000000000000" pitchFamily="65" charset="-120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  <a:latin typeface="微軟正黑體" panose="020B0604030504040204" pitchFamily="34" charset="-120"/>
          <a:ea typeface="微軟正黑體" panose="020B0604030504040204" pitchFamily="34" charset="-120"/>
        </a:defRPr>
      </a:pPr>
      <a:endParaRPr lang="zh-TW"/>
    </a:p>
  </c:txPr>
  <c:printSettings>
    <c:headerFooter/>
    <c:pageMargins b="0.750000000000002" l="0.70000000000000062" r="0.70000000000000062" t="0.750000000000002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vert="horz"/>
          <a:lstStyle/>
          <a:p>
            <a:pPr>
              <a:defRPr sz="1400">
                <a:latin typeface="Times New Roman" panose="02020603050405020304" pitchFamily="18" charset="0"/>
                <a:ea typeface="標楷體" panose="03000509000000000000" pitchFamily="65" charset="-120"/>
                <a:cs typeface="Times New Roman" panose="02020603050405020304" pitchFamily="18" charset="0"/>
              </a:defRPr>
            </a:pPr>
            <a:r>
              <a:rPr lang="en-US" sz="1400" b="0">
                <a:latin typeface="Times New Roman" panose="02020603050405020304" pitchFamily="18" charset="0"/>
                <a:ea typeface="標楷體" panose="03000509000000000000" pitchFamily="65" charset="-120"/>
                <a:cs typeface="Times New Roman" panose="02020603050405020304" pitchFamily="18" charset="0"/>
              </a:rPr>
              <a:t>SOx</a:t>
            </a:r>
            <a:r>
              <a:rPr lang="zh-TW" altLang="en-US" sz="1400" b="0">
                <a:latin typeface="Times New Roman" panose="02020603050405020304" pitchFamily="18" charset="0"/>
                <a:ea typeface="標楷體" panose="03000509000000000000" pitchFamily="65" charset="-120"/>
                <a:cs typeface="Times New Roman" panose="02020603050405020304" pitchFamily="18" charset="0"/>
              </a:rPr>
              <a:t>每日平均值</a:t>
            </a:r>
            <a:r>
              <a:rPr lang="en-US" altLang="zh-TW" sz="1400" b="0" i="0" u="none" strike="noStrike" baseline="0">
                <a:effectLst/>
                <a:latin typeface="Times New Roman" panose="02020603050405020304" pitchFamily="18" charset="0"/>
                <a:ea typeface="標楷體" panose="03000509000000000000" pitchFamily="65" charset="-120"/>
                <a:cs typeface="Times New Roman" panose="02020603050405020304" pitchFamily="18" charset="0"/>
              </a:rPr>
              <a:t>(ppm)</a:t>
            </a:r>
            <a:endParaRPr lang="zh-TW" sz="1400" b="0">
              <a:latin typeface="Times New Roman" panose="02020603050405020304" pitchFamily="18" charset="0"/>
              <a:ea typeface="標楷體" panose="03000509000000000000" pitchFamily="65" charset="-120"/>
              <a:cs typeface="Times New Roman" panose="02020603050405020304" pitchFamily="18" charset="0"/>
            </a:endParaRPr>
          </a:p>
        </c:rich>
      </c:tx>
      <c:layout>
        <c:manualLayout>
          <c:xMode val="edge"/>
          <c:yMode val="edge"/>
          <c:x val="0.31239912402144637"/>
          <c:y val="3.247654720645783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9.2105226722049155E-2"/>
          <c:y val="0.1031636235955056"/>
          <c:w val="0.86161240253003746"/>
          <c:h val="0.66248696322368861"/>
        </c:manualLayout>
      </c:layout>
      <c:lineChart>
        <c:grouping val="standard"/>
        <c:varyColors val="0"/>
        <c:ser>
          <c:idx val="0"/>
          <c:order val="0"/>
          <c:tx>
            <c:strRef>
              <c:f>'1月CEMS日監測'!$C$4</c:f>
              <c:strCache>
                <c:ptCount val="1"/>
                <c:pt idx="0">
                  <c:v>P101</c:v>
                </c:pt>
              </c:strCache>
            </c:strRef>
          </c:tx>
          <c:marker>
            <c:symbol val="none"/>
          </c:marker>
          <c:cat>
            <c:strRef>
              <c:f>'1月CEMS日監測'!$E$2:$AI$2</c:f>
              <c:strCache>
                <c:ptCount val="31"/>
                <c:pt idx="0">
                  <c:v>1/1</c:v>
                </c:pt>
                <c:pt idx="1">
                  <c:v>1/2</c:v>
                </c:pt>
                <c:pt idx="2">
                  <c:v>1/3</c:v>
                </c:pt>
                <c:pt idx="3">
                  <c:v>1/4</c:v>
                </c:pt>
                <c:pt idx="4">
                  <c:v>1/5</c:v>
                </c:pt>
                <c:pt idx="5">
                  <c:v>1/6</c:v>
                </c:pt>
                <c:pt idx="6">
                  <c:v>1/7</c:v>
                </c:pt>
                <c:pt idx="7">
                  <c:v>1/8</c:v>
                </c:pt>
                <c:pt idx="8">
                  <c:v>1/9</c:v>
                </c:pt>
                <c:pt idx="9">
                  <c:v>1/10</c:v>
                </c:pt>
                <c:pt idx="10">
                  <c:v>1/11</c:v>
                </c:pt>
                <c:pt idx="11">
                  <c:v>1/12</c:v>
                </c:pt>
                <c:pt idx="12">
                  <c:v>1/13</c:v>
                </c:pt>
                <c:pt idx="13">
                  <c:v>1/14</c:v>
                </c:pt>
                <c:pt idx="14">
                  <c:v>1/15</c:v>
                </c:pt>
                <c:pt idx="15">
                  <c:v>1/16</c:v>
                </c:pt>
                <c:pt idx="16">
                  <c:v>1/17</c:v>
                </c:pt>
                <c:pt idx="17">
                  <c:v>1/18</c:v>
                </c:pt>
                <c:pt idx="18">
                  <c:v>1/19</c:v>
                </c:pt>
                <c:pt idx="19">
                  <c:v>1/20</c:v>
                </c:pt>
                <c:pt idx="20">
                  <c:v>1/21</c:v>
                </c:pt>
                <c:pt idx="21">
                  <c:v>1/22</c:v>
                </c:pt>
                <c:pt idx="22">
                  <c:v>1/23</c:v>
                </c:pt>
                <c:pt idx="23">
                  <c:v>1/24</c:v>
                </c:pt>
                <c:pt idx="24">
                  <c:v>1/25</c:v>
                </c:pt>
                <c:pt idx="25">
                  <c:v>1/26</c:v>
                </c:pt>
                <c:pt idx="26">
                  <c:v>1/27</c:v>
                </c:pt>
                <c:pt idx="27">
                  <c:v>1/28</c:v>
                </c:pt>
                <c:pt idx="28">
                  <c:v>1/29</c:v>
                </c:pt>
                <c:pt idx="29">
                  <c:v>1/30</c:v>
                </c:pt>
                <c:pt idx="30">
                  <c:v>1/31</c:v>
                </c:pt>
              </c:strCache>
            </c:strRef>
          </c:cat>
          <c:val>
            <c:numRef>
              <c:f>'1月CEMS日監測'!$E$6:$AI$6</c:f>
              <c:numCache>
                <c:formatCode>0.00_);[Red]\(0.00\)</c:formatCode>
                <c:ptCount val="31"/>
                <c:pt idx="0">
                  <c:v>1.42</c:v>
                </c:pt>
                <c:pt idx="1">
                  <c:v>1.72</c:v>
                </c:pt>
                <c:pt idx="2">
                  <c:v>2.4700000000000002</c:v>
                </c:pt>
                <c:pt idx="3">
                  <c:v>2.78</c:v>
                </c:pt>
                <c:pt idx="4">
                  <c:v>1.24</c:v>
                </c:pt>
                <c:pt idx="5">
                  <c:v>2.2000000000000002</c:v>
                </c:pt>
                <c:pt idx="6">
                  <c:v>3.1</c:v>
                </c:pt>
                <c:pt idx="7">
                  <c:v>5.95</c:v>
                </c:pt>
                <c:pt idx="8">
                  <c:v>4.2</c:v>
                </c:pt>
                <c:pt idx="9">
                  <c:v>6.62</c:v>
                </c:pt>
                <c:pt idx="10">
                  <c:v>6.35</c:v>
                </c:pt>
                <c:pt idx="11">
                  <c:v>4.49</c:v>
                </c:pt>
                <c:pt idx="12">
                  <c:v>5.05</c:v>
                </c:pt>
                <c:pt idx="13">
                  <c:v>6.03</c:v>
                </c:pt>
                <c:pt idx="14">
                  <c:v>5.98</c:v>
                </c:pt>
                <c:pt idx="15">
                  <c:v>7.45</c:v>
                </c:pt>
                <c:pt idx="16">
                  <c:v>4.41</c:v>
                </c:pt>
                <c:pt idx="17">
                  <c:v>5.15</c:v>
                </c:pt>
                <c:pt idx="18">
                  <c:v>6.41</c:v>
                </c:pt>
                <c:pt idx="19">
                  <c:v>4.5199999999999996</c:v>
                </c:pt>
                <c:pt idx="20">
                  <c:v>7.15</c:v>
                </c:pt>
                <c:pt idx="21">
                  <c:v>6.11</c:v>
                </c:pt>
                <c:pt idx="22">
                  <c:v>4.83</c:v>
                </c:pt>
                <c:pt idx="23">
                  <c:v>5.07</c:v>
                </c:pt>
                <c:pt idx="24">
                  <c:v>6.06</c:v>
                </c:pt>
                <c:pt idx="25">
                  <c:v>4.71</c:v>
                </c:pt>
                <c:pt idx="26">
                  <c:v>5.17</c:v>
                </c:pt>
                <c:pt idx="27">
                  <c:v>5.67</c:v>
                </c:pt>
                <c:pt idx="28">
                  <c:v>7.43</c:v>
                </c:pt>
                <c:pt idx="29">
                  <c:v>6.19</c:v>
                </c:pt>
                <c:pt idx="30">
                  <c:v>3.79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509-473B-A9F4-59FED0650C52}"/>
            </c:ext>
          </c:extLst>
        </c:ser>
        <c:ser>
          <c:idx val="1"/>
          <c:order val="1"/>
          <c:tx>
            <c:strRef>
              <c:f>'1月CEMS日監測'!$C$7</c:f>
              <c:strCache>
                <c:ptCount val="1"/>
                <c:pt idx="0">
                  <c:v>P201</c:v>
                </c:pt>
              </c:strCache>
            </c:strRef>
          </c:tx>
          <c:marker>
            <c:symbol val="none"/>
          </c:marker>
          <c:cat>
            <c:strRef>
              <c:f>'1月CEMS日監測'!$E$2:$AI$2</c:f>
              <c:strCache>
                <c:ptCount val="31"/>
                <c:pt idx="0">
                  <c:v>1/1</c:v>
                </c:pt>
                <c:pt idx="1">
                  <c:v>1/2</c:v>
                </c:pt>
                <c:pt idx="2">
                  <c:v>1/3</c:v>
                </c:pt>
                <c:pt idx="3">
                  <c:v>1/4</c:v>
                </c:pt>
                <c:pt idx="4">
                  <c:v>1/5</c:v>
                </c:pt>
                <c:pt idx="5">
                  <c:v>1/6</c:v>
                </c:pt>
                <c:pt idx="6">
                  <c:v>1/7</c:v>
                </c:pt>
                <c:pt idx="7">
                  <c:v>1/8</c:v>
                </c:pt>
                <c:pt idx="8">
                  <c:v>1/9</c:v>
                </c:pt>
                <c:pt idx="9">
                  <c:v>1/10</c:v>
                </c:pt>
                <c:pt idx="10">
                  <c:v>1/11</c:v>
                </c:pt>
                <c:pt idx="11">
                  <c:v>1/12</c:v>
                </c:pt>
                <c:pt idx="12">
                  <c:v>1/13</c:v>
                </c:pt>
                <c:pt idx="13">
                  <c:v>1/14</c:v>
                </c:pt>
                <c:pt idx="14">
                  <c:v>1/15</c:v>
                </c:pt>
                <c:pt idx="15">
                  <c:v>1/16</c:v>
                </c:pt>
                <c:pt idx="16">
                  <c:v>1/17</c:v>
                </c:pt>
                <c:pt idx="17">
                  <c:v>1/18</c:v>
                </c:pt>
                <c:pt idx="18">
                  <c:v>1/19</c:v>
                </c:pt>
                <c:pt idx="19">
                  <c:v>1/20</c:v>
                </c:pt>
                <c:pt idx="20">
                  <c:v>1/21</c:v>
                </c:pt>
                <c:pt idx="21">
                  <c:v>1/22</c:v>
                </c:pt>
                <c:pt idx="22">
                  <c:v>1/23</c:v>
                </c:pt>
                <c:pt idx="23">
                  <c:v>1/24</c:v>
                </c:pt>
                <c:pt idx="24">
                  <c:v>1/25</c:v>
                </c:pt>
                <c:pt idx="25">
                  <c:v>1/26</c:v>
                </c:pt>
                <c:pt idx="26">
                  <c:v>1/27</c:v>
                </c:pt>
                <c:pt idx="27">
                  <c:v>1/28</c:v>
                </c:pt>
                <c:pt idx="28">
                  <c:v>1/29</c:v>
                </c:pt>
                <c:pt idx="29">
                  <c:v>1/30</c:v>
                </c:pt>
                <c:pt idx="30">
                  <c:v>1/31</c:v>
                </c:pt>
              </c:strCache>
            </c:strRef>
          </c:cat>
          <c:val>
            <c:numRef>
              <c:f>'1月CEMS日監測'!$E$9:$AI$9</c:f>
              <c:numCache>
                <c:formatCode>0.00_);[Red]\(0.00\)</c:formatCode>
                <c:ptCount val="31"/>
                <c:pt idx="0">
                  <c:v>3.37</c:v>
                </c:pt>
                <c:pt idx="1">
                  <c:v>1.04</c:v>
                </c:pt>
                <c:pt idx="2">
                  <c:v>3</c:v>
                </c:pt>
                <c:pt idx="3">
                  <c:v>5.1100000000000003</c:v>
                </c:pt>
                <c:pt idx="4">
                  <c:v>4.03</c:v>
                </c:pt>
                <c:pt idx="5">
                  <c:v>2.35</c:v>
                </c:pt>
                <c:pt idx="6">
                  <c:v>6.24</c:v>
                </c:pt>
                <c:pt idx="7">
                  <c:v>5.67</c:v>
                </c:pt>
                <c:pt idx="8">
                  <c:v>3.73</c:v>
                </c:pt>
                <c:pt idx="9">
                  <c:v>2.58</c:v>
                </c:pt>
                <c:pt idx="10">
                  <c:v>5.59</c:v>
                </c:pt>
                <c:pt idx="11">
                  <c:v>1.98</c:v>
                </c:pt>
                <c:pt idx="12">
                  <c:v>1.07</c:v>
                </c:pt>
                <c:pt idx="13">
                  <c:v>3.84</c:v>
                </c:pt>
                <c:pt idx="14">
                  <c:v>1.64</c:v>
                </c:pt>
                <c:pt idx="15">
                  <c:v>2.48</c:v>
                </c:pt>
                <c:pt idx="16">
                  <c:v>2.96</c:v>
                </c:pt>
                <c:pt idx="17">
                  <c:v>3.45</c:v>
                </c:pt>
                <c:pt idx="18">
                  <c:v>4.55</c:v>
                </c:pt>
                <c:pt idx="19">
                  <c:v>3.72</c:v>
                </c:pt>
                <c:pt idx="20">
                  <c:v>4.29</c:v>
                </c:pt>
                <c:pt idx="21">
                  <c:v>4.91</c:v>
                </c:pt>
                <c:pt idx="22">
                  <c:v>2.69</c:v>
                </c:pt>
                <c:pt idx="23">
                  <c:v>3.14</c:v>
                </c:pt>
                <c:pt idx="24">
                  <c:v>4.0199999999999996</c:v>
                </c:pt>
                <c:pt idx="25">
                  <c:v>3.39</c:v>
                </c:pt>
                <c:pt idx="26">
                  <c:v>3.67</c:v>
                </c:pt>
                <c:pt idx="27">
                  <c:v>4.0999999999999996</c:v>
                </c:pt>
                <c:pt idx="28">
                  <c:v>3.83</c:v>
                </c:pt>
                <c:pt idx="29">
                  <c:v>3.39</c:v>
                </c:pt>
                <c:pt idx="30">
                  <c:v>3.21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509-473B-A9F4-59FED0650C52}"/>
            </c:ext>
          </c:extLst>
        </c:ser>
        <c:ser>
          <c:idx val="3"/>
          <c:order val="2"/>
          <c:tx>
            <c:strRef>
              <c:f>'1月CEMS日監測'!$D$107</c:f>
              <c:strCache>
                <c:ptCount val="1"/>
                <c:pt idx="0">
                  <c:v>契約限值</c:v>
                </c:pt>
              </c:strCache>
            </c:strRef>
          </c:tx>
          <c:marker>
            <c:symbol val="none"/>
          </c:marker>
          <c:cat>
            <c:strRef>
              <c:f>'1月CEMS日監測'!$E$2:$AI$2</c:f>
              <c:strCache>
                <c:ptCount val="31"/>
                <c:pt idx="0">
                  <c:v>1/1</c:v>
                </c:pt>
                <c:pt idx="1">
                  <c:v>1/2</c:v>
                </c:pt>
                <c:pt idx="2">
                  <c:v>1/3</c:v>
                </c:pt>
                <c:pt idx="3">
                  <c:v>1/4</c:v>
                </c:pt>
                <c:pt idx="4">
                  <c:v>1/5</c:v>
                </c:pt>
                <c:pt idx="5">
                  <c:v>1/6</c:v>
                </c:pt>
                <c:pt idx="6">
                  <c:v>1/7</c:v>
                </c:pt>
                <c:pt idx="7">
                  <c:v>1/8</c:v>
                </c:pt>
                <c:pt idx="8">
                  <c:v>1/9</c:v>
                </c:pt>
                <c:pt idx="9">
                  <c:v>1/10</c:v>
                </c:pt>
                <c:pt idx="10">
                  <c:v>1/11</c:v>
                </c:pt>
                <c:pt idx="11">
                  <c:v>1/12</c:v>
                </c:pt>
                <c:pt idx="12">
                  <c:v>1/13</c:v>
                </c:pt>
                <c:pt idx="13">
                  <c:v>1/14</c:v>
                </c:pt>
                <c:pt idx="14">
                  <c:v>1/15</c:v>
                </c:pt>
                <c:pt idx="15">
                  <c:v>1/16</c:v>
                </c:pt>
                <c:pt idx="16">
                  <c:v>1/17</c:v>
                </c:pt>
                <c:pt idx="17">
                  <c:v>1/18</c:v>
                </c:pt>
                <c:pt idx="18">
                  <c:v>1/19</c:v>
                </c:pt>
                <c:pt idx="19">
                  <c:v>1/20</c:v>
                </c:pt>
                <c:pt idx="20">
                  <c:v>1/21</c:v>
                </c:pt>
                <c:pt idx="21">
                  <c:v>1/22</c:v>
                </c:pt>
                <c:pt idx="22">
                  <c:v>1/23</c:v>
                </c:pt>
                <c:pt idx="23">
                  <c:v>1/24</c:v>
                </c:pt>
                <c:pt idx="24">
                  <c:v>1/25</c:v>
                </c:pt>
                <c:pt idx="25">
                  <c:v>1/26</c:v>
                </c:pt>
                <c:pt idx="26">
                  <c:v>1/27</c:v>
                </c:pt>
                <c:pt idx="27">
                  <c:v>1/28</c:v>
                </c:pt>
                <c:pt idx="28">
                  <c:v>1/29</c:v>
                </c:pt>
                <c:pt idx="29">
                  <c:v>1/30</c:v>
                </c:pt>
                <c:pt idx="30">
                  <c:v>1/31</c:v>
                </c:pt>
              </c:strCache>
            </c:strRef>
          </c:cat>
          <c:val>
            <c:numRef>
              <c:f>'1月CEMS日監測'!$E$108:$AH$108</c:f>
              <c:numCache>
                <c:formatCode>General</c:formatCode>
                <c:ptCount val="30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  <c:pt idx="8">
                  <c:v>20</c:v>
                </c:pt>
                <c:pt idx="9">
                  <c:v>20</c:v>
                </c:pt>
                <c:pt idx="10">
                  <c:v>20</c:v>
                </c:pt>
                <c:pt idx="11">
                  <c:v>20</c:v>
                </c:pt>
                <c:pt idx="12">
                  <c:v>20</c:v>
                </c:pt>
                <c:pt idx="13">
                  <c:v>20</c:v>
                </c:pt>
                <c:pt idx="14">
                  <c:v>20</c:v>
                </c:pt>
                <c:pt idx="15">
                  <c:v>20</c:v>
                </c:pt>
                <c:pt idx="16">
                  <c:v>20</c:v>
                </c:pt>
                <c:pt idx="17">
                  <c:v>20</c:v>
                </c:pt>
                <c:pt idx="18">
                  <c:v>20</c:v>
                </c:pt>
                <c:pt idx="19">
                  <c:v>20</c:v>
                </c:pt>
                <c:pt idx="20">
                  <c:v>20</c:v>
                </c:pt>
                <c:pt idx="21">
                  <c:v>20</c:v>
                </c:pt>
                <c:pt idx="22">
                  <c:v>20</c:v>
                </c:pt>
                <c:pt idx="23">
                  <c:v>20</c:v>
                </c:pt>
                <c:pt idx="24">
                  <c:v>20</c:v>
                </c:pt>
                <c:pt idx="25">
                  <c:v>20</c:v>
                </c:pt>
                <c:pt idx="26">
                  <c:v>20</c:v>
                </c:pt>
                <c:pt idx="27">
                  <c:v>20</c:v>
                </c:pt>
                <c:pt idx="28">
                  <c:v>20</c:v>
                </c:pt>
                <c:pt idx="29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509-473B-A9F4-59FED0650C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59693632"/>
        <c:axId val="-59693088"/>
      </c:lineChart>
      <c:catAx>
        <c:axId val="-59693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/>
          <a:lstStyle/>
          <a:p>
            <a:pPr>
              <a:defRPr/>
            </a:pPr>
            <a:endParaRPr lang="zh-TW"/>
          </a:p>
        </c:txPr>
        <c:crossAx val="-59693088"/>
        <c:crosses val="autoZero"/>
        <c:auto val="1"/>
        <c:lblAlgn val="ctr"/>
        <c:lblOffset val="100"/>
        <c:noMultiLvlLbl val="0"/>
      </c:catAx>
      <c:valAx>
        <c:axId val="-59693088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vert="horz"/>
          <a:lstStyle/>
          <a:p>
            <a:pPr>
              <a:defRPr sz="11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endParaRPr lang="zh-TW"/>
          </a:p>
        </c:txPr>
        <c:crossAx val="-59693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vert="horz"/>
        <a:lstStyle/>
        <a:p>
          <a:pPr>
            <a:defRPr/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  <a:latin typeface="標楷體" panose="03000509000000000000" pitchFamily="65" charset="-120"/>
          <a:ea typeface="標楷體" panose="03000509000000000000" pitchFamily="65" charset="-120"/>
        </a:defRPr>
      </a:pPr>
      <a:endParaRPr lang="zh-TW"/>
    </a:p>
  </c:txPr>
  <c:printSettings>
    <c:headerFooter/>
    <c:pageMargins b="0.750000000000002" l="0.70000000000000062" r="0.70000000000000062" t="0.750000000000002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vert="horz"/>
          <a:lstStyle/>
          <a:p>
            <a:pPr>
              <a:defRPr sz="1400" b="0">
                <a:latin typeface="Times New Roman" panose="02020603050405020304" pitchFamily="18" charset="0"/>
                <a:ea typeface="標楷體" panose="03000509000000000000" pitchFamily="65" charset="-120"/>
                <a:cs typeface="Times New Roman" panose="02020603050405020304" pitchFamily="18" charset="0"/>
              </a:defRPr>
            </a:pPr>
            <a:r>
              <a:rPr lang="en-US" sz="1400" b="0">
                <a:latin typeface="Times New Roman" panose="02020603050405020304" pitchFamily="18" charset="0"/>
                <a:ea typeface="標楷體" panose="03000509000000000000" pitchFamily="65" charset="-120"/>
                <a:cs typeface="Times New Roman" panose="02020603050405020304" pitchFamily="18" charset="0"/>
              </a:rPr>
              <a:t>Opacity</a:t>
            </a:r>
            <a:r>
              <a:rPr lang="zh-TW" altLang="zh-TW" sz="1400" b="0" i="0" u="none" strike="noStrike" baseline="0">
                <a:effectLst/>
                <a:latin typeface="Times New Roman" panose="02020603050405020304" pitchFamily="18" charset="0"/>
                <a:ea typeface="標楷體" panose="03000509000000000000" pitchFamily="65" charset="-120"/>
                <a:cs typeface="Times New Roman" panose="02020603050405020304" pitchFamily="18" charset="0"/>
              </a:rPr>
              <a:t>每日平均值</a:t>
            </a:r>
            <a:r>
              <a:rPr lang="en-US" altLang="zh-TW" sz="1400" b="0">
                <a:latin typeface="Times New Roman" panose="02020603050405020304" pitchFamily="18" charset="0"/>
                <a:ea typeface="標楷體" panose="03000509000000000000" pitchFamily="65" charset="-120"/>
                <a:cs typeface="Times New Roman" panose="02020603050405020304" pitchFamily="18" charset="0"/>
              </a:rPr>
              <a:t>(%)</a:t>
            </a:r>
          </a:p>
        </c:rich>
      </c:tx>
      <c:layout>
        <c:manualLayout>
          <c:xMode val="edge"/>
          <c:yMode val="edge"/>
          <c:x val="0.30547508417508423"/>
          <c:y val="0"/>
        </c:manualLayout>
      </c:layout>
      <c:overlay val="1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2210461816965559"/>
          <c:y val="0.14689745142803912"/>
          <c:w val="0.85520195283697964"/>
          <c:h val="0.61255401987138314"/>
        </c:manualLayout>
      </c:layout>
      <c:lineChart>
        <c:grouping val="standard"/>
        <c:varyColors val="0"/>
        <c:ser>
          <c:idx val="0"/>
          <c:order val="0"/>
          <c:tx>
            <c:strRef>
              <c:f>'1月CEMS日監測'!$C$28</c:f>
              <c:strCache>
                <c:ptCount val="1"/>
                <c:pt idx="0">
                  <c:v>P101</c:v>
                </c:pt>
              </c:strCache>
            </c:strRef>
          </c:tx>
          <c:marker>
            <c:symbol val="none"/>
          </c:marker>
          <c:cat>
            <c:strRef>
              <c:f>'1月CEMS日監測'!$E$2:$AI$2</c:f>
              <c:strCache>
                <c:ptCount val="31"/>
                <c:pt idx="0">
                  <c:v>1/1</c:v>
                </c:pt>
                <c:pt idx="1">
                  <c:v>1/2</c:v>
                </c:pt>
                <c:pt idx="2">
                  <c:v>1/3</c:v>
                </c:pt>
                <c:pt idx="3">
                  <c:v>1/4</c:v>
                </c:pt>
                <c:pt idx="4">
                  <c:v>1/5</c:v>
                </c:pt>
                <c:pt idx="5">
                  <c:v>1/6</c:v>
                </c:pt>
                <c:pt idx="6">
                  <c:v>1/7</c:v>
                </c:pt>
                <c:pt idx="7">
                  <c:v>1/8</c:v>
                </c:pt>
                <c:pt idx="8">
                  <c:v>1/9</c:v>
                </c:pt>
                <c:pt idx="9">
                  <c:v>1/10</c:v>
                </c:pt>
                <c:pt idx="10">
                  <c:v>1/11</c:v>
                </c:pt>
                <c:pt idx="11">
                  <c:v>1/12</c:v>
                </c:pt>
                <c:pt idx="12">
                  <c:v>1/13</c:v>
                </c:pt>
                <c:pt idx="13">
                  <c:v>1/14</c:v>
                </c:pt>
                <c:pt idx="14">
                  <c:v>1/15</c:v>
                </c:pt>
                <c:pt idx="15">
                  <c:v>1/16</c:v>
                </c:pt>
                <c:pt idx="16">
                  <c:v>1/17</c:v>
                </c:pt>
                <c:pt idx="17">
                  <c:v>1/18</c:v>
                </c:pt>
                <c:pt idx="18">
                  <c:v>1/19</c:v>
                </c:pt>
                <c:pt idx="19">
                  <c:v>1/20</c:v>
                </c:pt>
                <c:pt idx="20">
                  <c:v>1/21</c:v>
                </c:pt>
                <c:pt idx="21">
                  <c:v>1/22</c:v>
                </c:pt>
                <c:pt idx="22">
                  <c:v>1/23</c:v>
                </c:pt>
                <c:pt idx="23">
                  <c:v>1/24</c:v>
                </c:pt>
                <c:pt idx="24">
                  <c:v>1/25</c:v>
                </c:pt>
                <c:pt idx="25">
                  <c:v>1/26</c:v>
                </c:pt>
                <c:pt idx="26">
                  <c:v>1/27</c:v>
                </c:pt>
                <c:pt idx="27">
                  <c:v>1/28</c:v>
                </c:pt>
                <c:pt idx="28">
                  <c:v>1/29</c:v>
                </c:pt>
                <c:pt idx="29">
                  <c:v>1/30</c:v>
                </c:pt>
                <c:pt idx="30">
                  <c:v>1/31</c:v>
                </c:pt>
              </c:strCache>
            </c:strRef>
          </c:cat>
          <c:val>
            <c:numRef>
              <c:f>'1月CEMS日監測'!$E$30:$AI$30</c:f>
              <c:numCache>
                <c:formatCode>0.00_);[Red]\(0.00\)</c:formatCode>
                <c:ptCount val="31"/>
                <c:pt idx="0">
                  <c:v>3</c:v>
                </c:pt>
                <c:pt idx="1">
                  <c:v>2.97</c:v>
                </c:pt>
                <c:pt idx="2">
                  <c:v>2.8</c:v>
                </c:pt>
                <c:pt idx="3">
                  <c:v>2.6</c:v>
                </c:pt>
                <c:pt idx="4">
                  <c:v>2.54</c:v>
                </c:pt>
                <c:pt idx="5">
                  <c:v>2.67</c:v>
                </c:pt>
                <c:pt idx="6">
                  <c:v>2.67</c:v>
                </c:pt>
                <c:pt idx="7">
                  <c:v>2.3199999999999998</c:v>
                </c:pt>
                <c:pt idx="8">
                  <c:v>2.15</c:v>
                </c:pt>
                <c:pt idx="9">
                  <c:v>2.11</c:v>
                </c:pt>
                <c:pt idx="10">
                  <c:v>2.2000000000000002</c:v>
                </c:pt>
                <c:pt idx="11">
                  <c:v>2.35</c:v>
                </c:pt>
                <c:pt idx="12">
                  <c:v>2.09</c:v>
                </c:pt>
                <c:pt idx="13">
                  <c:v>1.93</c:v>
                </c:pt>
                <c:pt idx="14">
                  <c:v>2.04</c:v>
                </c:pt>
                <c:pt idx="15">
                  <c:v>1.98</c:v>
                </c:pt>
                <c:pt idx="16">
                  <c:v>1.94</c:v>
                </c:pt>
                <c:pt idx="17">
                  <c:v>2.02</c:v>
                </c:pt>
                <c:pt idx="18">
                  <c:v>1.91</c:v>
                </c:pt>
                <c:pt idx="19">
                  <c:v>1.83</c:v>
                </c:pt>
                <c:pt idx="20">
                  <c:v>1.83</c:v>
                </c:pt>
                <c:pt idx="21">
                  <c:v>1.86</c:v>
                </c:pt>
                <c:pt idx="22">
                  <c:v>1.88</c:v>
                </c:pt>
                <c:pt idx="23">
                  <c:v>1.77</c:v>
                </c:pt>
                <c:pt idx="24">
                  <c:v>1.78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ECB-4273-9A60-D307981E7D97}"/>
            </c:ext>
          </c:extLst>
        </c:ser>
        <c:ser>
          <c:idx val="1"/>
          <c:order val="1"/>
          <c:tx>
            <c:strRef>
              <c:f>'1月CEMS日監測'!$C$31</c:f>
              <c:strCache>
                <c:ptCount val="1"/>
                <c:pt idx="0">
                  <c:v>P201</c:v>
                </c:pt>
              </c:strCache>
            </c:strRef>
          </c:tx>
          <c:marker>
            <c:symbol val="none"/>
          </c:marker>
          <c:cat>
            <c:strRef>
              <c:f>'1月CEMS日監測'!$E$2:$AI$2</c:f>
              <c:strCache>
                <c:ptCount val="31"/>
                <c:pt idx="0">
                  <c:v>1/1</c:v>
                </c:pt>
                <c:pt idx="1">
                  <c:v>1/2</c:v>
                </c:pt>
                <c:pt idx="2">
                  <c:v>1/3</c:v>
                </c:pt>
                <c:pt idx="3">
                  <c:v>1/4</c:v>
                </c:pt>
                <c:pt idx="4">
                  <c:v>1/5</c:v>
                </c:pt>
                <c:pt idx="5">
                  <c:v>1/6</c:v>
                </c:pt>
                <c:pt idx="6">
                  <c:v>1/7</c:v>
                </c:pt>
                <c:pt idx="7">
                  <c:v>1/8</c:v>
                </c:pt>
                <c:pt idx="8">
                  <c:v>1/9</c:v>
                </c:pt>
                <c:pt idx="9">
                  <c:v>1/10</c:v>
                </c:pt>
                <c:pt idx="10">
                  <c:v>1/11</c:v>
                </c:pt>
                <c:pt idx="11">
                  <c:v>1/12</c:v>
                </c:pt>
                <c:pt idx="12">
                  <c:v>1/13</c:v>
                </c:pt>
                <c:pt idx="13">
                  <c:v>1/14</c:v>
                </c:pt>
                <c:pt idx="14">
                  <c:v>1/15</c:v>
                </c:pt>
                <c:pt idx="15">
                  <c:v>1/16</c:v>
                </c:pt>
                <c:pt idx="16">
                  <c:v>1/17</c:v>
                </c:pt>
                <c:pt idx="17">
                  <c:v>1/18</c:v>
                </c:pt>
                <c:pt idx="18">
                  <c:v>1/19</c:v>
                </c:pt>
                <c:pt idx="19">
                  <c:v>1/20</c:v>
                </c:pt>
                <c:pt idx="20">
                  <c:v>1/21</c:v>
                </c:pt>
                <c:pt idx="21">
                  <c:v>1/22</c:v>
                </c:pt>
                <c:pt idx="22">
                  <c:v>1/23</c:v>
                </c:pt>
                <c:pt idx="23">
                  <c:v>1/24</c:v>
                </c:pt>
                <c:pt idx="24">
                  <c:v>1/25</c:v>
                </c:pt>
                <c:pt idx="25">
                  <c:v>1/26</c:v>
                </c:pt>
                <c:pt idx="26">
                  <c:v>1/27</c:v>
                </c:pt>
                <c:pt idx="27">
                  <c:v>1/28</c:v>
                </c:pt>
                <c:pt idx="28">
                  <c:v>1/29</c:v>
                </c:pt>
                <c:pt idx="29">
                  <c:v>1/30</c:v>
                </c:pt>
                <c:pt idx="30">
                  <c:v>1/31</c:v>
                </c:pt>
              </c:strCache>
            </c:strRef>
          </c:cat>
          <c:val>
            <c:numRef>
              <c:f>'1月CEMS日監測'!$E$33:$AI$33</c:f>
              <c:numCache>
                <c:formatCode>0.00_);[Red]\(0.00\)</c:formatCode>
                <c:ptCount val="31"/>
                <c:pt idx="0">
                  <c:v>2.0299999999999998</c:v>
                </c:pt>
                <c:pt idx="1">
                  <c:v>1.96</c:v>
                </c:pt>
                <c:pt idx="2">
                  <c:v>1.95</c:v>
                </c:pt>
                <c:pt idx="3">
                  <c:v>1.89</c:v>
                </c:pt>
                <c:pt idx="4">
                  <c:v>1.92</c:v>
                </c:pt>
                <c:pt idx="5">
                  <c:v>1.9</c:v>
                </c:pt>
                <c:pt idx="6">
                  <c:v>1.97</c:v>
                </c:pt>
                <c:pt idx="7">
                  <c:v>1.96</c:v>
                </c:pt>
                <c:pt idx="8">
                  <c:v>1.91</c:v>
                </c:pt>
                <c:pt idx="9">
                  <c:v>1.95</c:v>
                </c:pt>
                <c:pt idx="10">
                  <c:v>2.02</c:v>
                </c:pt>
                <c:pt idx="11">
                  <c:v>2.02</c:v>
                </c:pt>
                <c:pt idx="12">
                  <c:v>2.0099999999999998</c:v>
                </c:pt>
                <c:pt idx="13">
                  <c:v>2.4500000000000002</c:v>
                </c:pt>
                <c:pt idx="14">
                  <c:v>2.46</c:v>
                </c:pt>
                <c:pt idx="15">
                  <c:v>1.72</c:v>
                </c:pt>
                <c:pt idx="16">
                  <c:v>1.76</c:v>
                </c:pt>
                <c:pt idx="17">
                  <c:v>1.83</c:v>
                </c:pt>
                <c:pt idx="18">
                  <c:v>1.77</c:v>
                </c:pt>
                <c:pt idx="19">
                  <c:v>1.71</c:v>
                </c:pt>
                <c:pt idx="20">
                  <c:v>1.76</c:v>
                </c:pt>
                <c:pt idx="21">
                  <c:v>1.75</c:v>
                </c:pt>
                <c:pt idx="22">
                  <c:v>1.75</c:v>
                </c:pt>
                <c:pt idx="23">
                  <c:v>1.82</c:v>
                </c:pt>
                <c:pt idx="24">
                  <c:v>1.87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ECB-4273-9A60-D307981E7D97}"/>
            </c:ext>
          </c:extLst>
        </c:ser>
        <c:ser>
          <c:idx val="3"/>
          <c:order val="2"/>
          <c:tx>
            <c:strRef>
              <c:f>'1月CEMS日監測'!$D$107</c:f>
              <c:strCache>
                <c:ptCount val="1"/>
                <c:pt idx="0">
                  <c:v>契約限值</c:v>
                </c:pt>
              </c:strCache>
            </c:strRef>
          </c:tx>
          <c:marker>
            <c:symbol val="none"/>
          </c:marker>
          <c:cat>
            <c:strRef>
              <c:f>'1月CEMS日監測'!$E$2:$AI$2</c:f>
              <c:strCache>
                <c:ptCount val="31"/>
                <c:pt idx="0">
                  <c:v>1/1</c:v>
                </c:pt>
                <c:pt idx="1">
                  <c:v>1/2</c:v>
                </c:pt>
                <c:pt idx="2">
                  <c:v>1/3</c:v>
                </c:pt>
                <c:pt idx="3">
                  <c:v>1/4</c:v>
                </c:pt>
                <c:pt idx="4">
                  <c:v>1/5</c:v>
                </c:pt>
                <c:pt idx="5">
                  <c:v>1/6</c:v>
                </c:pt>
                <c:pt idx="6">
                  <c:v>1/7</c:v>
                </c:pt>
                <c:pt idx="7">
                  <c:v>1/8</c:v>
                </c:pt>
                <c:pt idx="8">
                  <c:v>1/9</c:v>
                </c:pt>
                <c:pt idx="9">
                  <c:v>1/10</c:v>
                </c:pt>
                <c:pt idx="10">
                  <c:v>1/11</c:v>
                </c:pt>
                <c:pt idx="11">
                  <c:v>1/12</c:v>
                </c:pt>
                <c:pt idx="12">
                  <c:v>1/13</c:v>
                </c:pt>
                <c:pt idx="13">
                  <c:v>1/14</c:v>
                </c:pt>
                <c:pt idx="14">
                  <c:v>1/15</c:v>
                </c:pt>
                <c:pt idx="15">
                  <c:v>1/16</c:v>
                </c:pt>
                <c:pt idx="16">
                  <c:v>1/17</c:v>
                </c:pt>
                <c:pt idx="17">
                  <c:v>1/18</c:v>
                </c:pt>
                <c:pt idx="18">
                  <c:v>1/19</c:v>
                </c:pt>
                <c:pt idx="19">
                  <c:v>1/20</c:v>
                </c:pt>
                <c:pt idx="20">
                  <c:v>1/21</c:v>
                </c:pt>
                <c:pt idx="21">
                  <c:v>1/22</c:v>
                </c:pt>
                <c:pt idx="22">
                  <c:v>1/23</c:v>
                </c:pt>
                <c:pt idx="23">
                  <c:v>1/24</c:v>
                </c:pt>
                <c:pt idx="24">
                  <c:v>1/25</c:v>
                </c:pt>
                <c:pt idx="25">
                  <c:v>1/26</c:v>
                </c:pt>
                <c:pt idx="26">
                  <c:v>1/27</c:v>
                </c:pt>
                <c:pt idx="27">
                  <c:v>1/28</c:v>
                </c:pt>
                <c:pt idx="28">
                  <c:v>1/29</c:v>
                </c:pt>
                <c:pt idx="29">
                  <c:v>1/30</c:v>
                </c:pt>
                <c:pt idx="30">
                  <c:v>1/31</c:v>
                </c:pt>
              </c:strCache>
            </c:strRef>
          </c:cat>
          <c:val>
            <c:numRef>
              <c:f>'1月CEMS日監測'!$E$112:$AH$112</c:f>
              <c:numCache>
                <c:formatCode>General</c:formatCode>
                <c:ptCount val="30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10</c:v>
                </c:pt>
                <c:pt idx="11">
                  <c:v>10</c:v>
                </c:pt>
                <c:pt idx="12">
                  <c:v>10</c:v>
                </c:pt>
                <c:pt idx="13">
                  <c:v>10</c:v>
                </c:pt>
                <c:pt idx="14">
                  <c:v>10</c:v>
                </c:pt>
                <c:pt idx="15">
                  <c:v>10</c:v>
                </c:pt>
                <c:pt idx="16">
                  <c:v>10</c:v>
                </c:pt>
                <c:pt idx="17">
                  <c:v>10</c:v>
                </c:pt>
                <c:pt idx="18">
                  <c:v>10</c:v>
                </c:pt>
                <c:pt idx="19">
                  <c:v>10</c:v>
                </c:pt>
                <c:pt idx="20">
                  <c:v>10</c:v>
                </c:pt>
                <c:pt idx="21">
                  <c:v>10</c:v>
                </c:pt>
                <c:pt idx="22">
                  <c:v>10</c:v>
                </c:pt>
                <c:pt idx="23">
                  <c:v>10</c:v>
                </c:pt>
                <c:pt idx="24">
                  <c:v>10</c:v>
                </c:pt>
                <c:pt idx="25">
                  <c:v>10</c:v>
                </c:pt>
                <c:pt idx="26">
                  <c:v>10</c:v>
                </c:pt>
                <c:pt idx="27">
                  <c:v>10</c:v>
                </c:pt>
                <c:pt idx="28">
                  <c:v>10</c:v>
                </c:pt>
                <c:pt idx="29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ECB-4273-9A60-D307981E7D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59701792"/>
        <c:axId val="-59699072"/>
      </c:lineChart>
      <c:catAx>
        <c:axId val="-597017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/>
          <a:lstStyle/>
          <a:p>
            <a:pPr>
              <a:defRPr sz="1100">
                <a:latin typeface="標楷體" panose="03000509000000000000" pitchFamily="65" charset="-120"/>
                <a:ea typeface="標楷體" panose="03000509000000000000" pitchFamily="65" charset="-120"/>
              </a:defRPr>
            </a:pPr>
            <a:endParaRPr lang="zh-TW"/>
          </a:p>
        </c:txPr>
        <c:crossAx val="-59699072"/>
        <c:crosses val="autoZero"/>
        <c:auto val="1"/>
        <c:lblAlgn val="ctr"/>
        <c:lblOffset val="100"/>
        <c:noMultiLvlLbl val="0"/>
      </c:catAx>
      <c:valAx>
        <c:axId val="-59699072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vert="horz"/>
          <a:lstStyle/>
          <a:p>
            <a:pPr>
              <a:defRPr sz="1100">
                <a:latin typeface="Times New Roman" panose="02020603050405020304" pitchFamily="18" charset="0"/>
                <a:ea typeface="標楷體" panose="03000509000000000000" pitchFamily="65" charset="-120"/>
                <a:cs typeface="Times New Roman" panose="02020603050405020304" pitchFamily="18" charset="0"/>
              </a:defRPr>
            </a:pPr>
            <a:endParaRPr lang="zh-TW"/>
          </a:p>
        </c:txPr>
        <c:crossAx val="-59701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vert="horz"/>
        <a:lstStyle/>
        <a:p>
          <a:pPr>
            <a:defRPr sz="1100">
              <a:latin typeface="標楷體" panose="03000509000000000000" pitchFamily="65" charset="-120"/>
              <a:ea typeface="標楷體" panose="03000509000000000000" pitchFamily="65" charset="-120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  <a:latin typeface="微軟正黑體" panose="020B0604030504040204" pitchFamily="34" charset="-120"/>
          <a:ea typeface="微軟正黑體" panose="020B0604030504040204" pitchFamily="34" charset="-120"/>
        </a:defRPr>
      </a:pPr>
      <a:endParaRPr lang="zh-TW"/>
    </a:p>
  </c:txPr>
  <c:printSettings>
    <c:headerFooter/>
    <c:pageMargins b="0.750000000000002" l="0.70000000000000062" r="0.70000000000000062" t="0.750000000000002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vert="horz"/>
          <a:lstStyle/>
          <a:p>
            <a:pPr>
              <a:defRPr sz="1400">
                <a:latin typeface="Times New Roman" panose="02020603050405020304" pitchFamily="18" charset="0"/>
                <a:ea typeface="標楷體" panose="03000509000000000000" pitchFamily="65" charset="-120"/>
                <a:cs typeface="Times New Roman" panose="02020603050405020304" pitchFamily="18" charset="0"/>
              </a:defRPr>
            </a:pPr>
            <a:r>
              <a:rPr lang="en-US" sz="1400" b="0">
                <a:latin typeface="Times New Roman" panose="02020603050405020304" pitchFamily="18" charset="0"/>
                <a:ea typeface="標楷體" panose="03000509000000000000" pitchFamily="65" charset="-120"/>
                <a:cs typeface="Times New Roman" panose="02020603050405020304" pitchFamily="18" charset="0"/>
              </a:rPr>
              <a:t>HCl</a:t>
            </a:r>
            <a:r>
              <a:rPr lang="zh-TW" altLang="zh-TW" sz="1400" b="0" i="0" u="none" strike="noStrike" baseline="0">
                <a:effectLst/>
                <a:latin typeface="Times New Roman" panose="02020603050405020304" pitchFamily="18" charset="0"/>
                <a:ea typeface="標楷體" panose="03000509000000000000" pitchFamily="65" charset="-120"/>
                <a:cs typeface="Times New Roman" panose="02020603050405020304" pitchFamily="18" charset="0"/>
              </a:rPr>
              <a:t>每日平均值</a:t>
            </a:r>
            <a:r>
              <a:rPr lang="en-US" altLang="zh-TW" sz="1400" b="0" i="0" u="none" strike="noStrike" baseline="0">
                <a:effectLst/>
                <a:latin typeface="Times New Roman" panose="02020603050405020304" pitchFamily="18" charset="0"/>
                <a:ea typeface="標楷體" panose="03000509000000000000" pitchFamily="65" charset="-120"/>
                <a:cs typeface="Times New Roman" panose="02020603050405020304" pitchFamily="18" charset="0"/>
              </a:rPr>
              <a:t>(ppm)</a:t>
            </a:r>
            <a:endParaRPr lang="zh-TW" sz="1400" b="0">
              <a:latin typeface="Times New Roman" panose="02020603050405020304" pitchFamily="18" charset="0"/>
              <a:ea typeface="標楷體" panose="03000509000000000000" pitchFamily="65" charset="-120"/>
              <a:cs typeface="Times New Roman" panose="02020603050405020304" pitchFamily="18" charset="0"/>
            </a:endParaRPr>
          </a:p>
        </c:rich>
      </c:tx>
      <c:layout>
        <c:manualLayout>
          <c:xMode val="edge"/>
          <c:yMode val="edge"/>
          <c:x val="0.29044781144781145"/>
          <c:y val="0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1455084529151453"/>
          <c:y val="0.11335459025747001"/>
          <c:w val="0.86290654158555413"/>
          <c:h val="0.6519007417373065"/>
        </c:manualLayout>
      </c:layout>
      <c:lineChart>
        <c:grouping val="standard"/>
        <c:varyColors val="0"/>
        <c:ser>
          <c:idx val="0"/>
          <c:order val="0"/>
          <c:tx>
            <c:strRef>
              <c:f>'1月CEMS日監測'!$C$22</c:f>
              <c:strCache>
                <c:ptCount val="1"/>
                <c:pt idx="0">
                  <c:v>P101</c:v>
                </c:pt>
              </c:strCache>
            </c:strRef>
          </c:tx>
          <c:marker>
            <c:symbol val="none"/>
          </c:marker>
          <c:cat>
            <c:strRef>
              <c:f>'1月CEMS日監測'!$E$2:$AI$2</c:f>
              <c:strCache>
                <c:ptCount val="31"/>
                <c:pt idx="0">
                  <c:v>1/1</c:v>
                </c:pt>
                <c:pt idx="1">
                  <c:v>1/2</c:v>
                </c:pt>
                <c:pt idx="2">
                  <c:v>1/3</c:v>
                </c:pt>
                <c:pt idx="3">
                  <c:v>1/4</c:v>
                </c:pt>
                <c:pt idx="4">
                  <c:v>1/5</c:v>
                </c:pt>
                <c:pt idx="5">
                  <c:v>1/6</c:v>
                </c:pt>
                <c:pt idx="6">
                  <c:v>1/7</c:v>
                </c:pt>
                <c:pt idx="7">
                  <c:v>1/8</c:v>
                </c:pt>
                <c:pt idx="8">
                  <c:v>1/9</c:v>
                </c:pt>
                <c:pt idx="9">
                  <c:v>1/10</c:v>
                </c:pt>
                <c:pt idx="10">
                  <c:v>1/11</c:v>
                </c:pt>
                <c:pt idx="11">
                  <c:v>1/12</c:v>
                </c:pt>
                <c:pt idx="12">
                  <c:v>1/13</c:v>
                </c:pt>
                <c:pt idx="13">
                  <c:v>1/14</c:v>
                </c:pt>
                <c:pt idx="14">
                  <c:v>1/15</c:v>
                </c:pt>
                <c:pt idx="15">
                  <c:v>1/16</c:v>
                </c:pt>
                <c:pt idx="16">
                  <c:v>1/17</c:v>
                </c:pt>
                <c:pt idx="17">
                  <c:v>1/18</c:v>
                </c:pt>
                <c:pt idx="18">
                  <c:v>1/19</c:v>
                </c:pt>
                <c:pt idx="19">
                  <c:v>1/20</c:v>
                </c:pt>
                <c:pt idx="20">
                  <c:v>1/21</c:v>
                </c:pt>
                <c:pt idx="21">
                  <c:v>1/22</c:v>
                </c:pt>
                <c:pt idx="22">
                  <c:v>1/23</c:v>
                </c:pt>
                <c:pt idx="23">
                  <c:v>1/24</c:v>
                </c:pt>
                <c:pt idx="24">
                  <c:v>1/25</c:v>
                </c:pt>
                <c:pt idx="25">
                  <c:v>1/26</c:v>
                </c:pt>
                <c:pt idx="26">
                  <c:v>1/27</c:v>
                </c:pt>
                <c:pt idx="27">
                  <c:v>1/28</c:v>
                </c:pt>
                <c:pt idx="28">
                  <c:v>1/29</c:v>
                </c:pt>
                <c:pt idx="29">
                  <c:v>1/30</c:v>
                </c:pt>
                <c:pt idx="30">
                  <c:v>1/31</c:v>
                </c:pt>
              </c:strCache>
            </c:strRef>
          </c:cat>
          <c:val>
            <c:numRef>
              <c:f>'1月CEMS日監測'!$E$24:$AI$24</c:f>
              <c:numCache>
                <c:formatCode>0.00_);[Red]\(0.00\)</c:formatCode>
                <c:ptCount val="31"/>
                <c:pt idx="0">
                  <c:v>5.44</c:v>
                </c:pt>
                <c:pt idx="1">
                  <c:v>2.92</c:v>
                </c:pt>
                <c:pt idx="2">
                  <c:v>7.29</c:v>
                </c:pt>
                <c:pt idx="3">
                  <c:v>10.45</c:v>
                </c:pt>
                <c:pt idx="4">
                  <c:v>5.85</c:v>
                </c:pt>
                <c:pt idx="5">
                  <c:v>9.33</c:v>
                </c:pt>
                <c:pt idx="6">
                  <c:v>9.4700000000000006</c:v>
                </c:pt>
                <c:pt idx="7">
                  <c:v>12.29</c:v>
                </c:pt>
                <c:pt idx="8">
                  <c:v>9.27</c:v>
                </c:pt>
                <c:pt idx="9">
                  <c:v>11.46</c:v>
                </c:pt>
                <c:pt idx="10">
                  <c:v>11.87</c:v>
                </c:pt>
                <c:pt idx="11">
                  <c:v>9.91</c:v>
                </c:pt>
                <c:pt idx="12">
                  <c:v>9.51</c:v>
                </c:pt>
                <c:pt idx="13">
                  <c:v>11.42</c:v>
                </c:pt>
                <c:pt idx="14">
                  <c:v>12.1</c:v>
                </c:pt>
                <c:pt idx="15">
                  <c:v>14.03</c:v>
                </c:pt>
                <c:pt idx="16">
                  <c:v>12.13</c:v>
                </c:pt>
                <c:pt idx="17">
                  <c:v>13.17</c:v>
                </c:pt>
                <c:pt idx="18">
                  <c:v>12.49</c:v>
                </c:pt>
                <c:pt idx="19">
                  <c:v>10.46</c:v>
                </c:pt>
                <c:pt idx="20">
                  <c:v>14.23</c:v>
                </c:pt>
                <c:pt idx="21">
                  <c:v>13.23</c:v>
                </c:pt>
                <c:pt idx="22">
                  <c:v>12.29</c:v>
                </c:pt>
                <c:pt idx="23">
                  <c:v>12.16</c:v>
                </c:pt>
                <c:pt idx="24">
                  <c:v>12.96</c:v>
                </c:pt>
                <c:pt idx="25">
                  <c:v>12.51</c:v>
                </c:pt>
                <c:pt idx="26">
                  <c:v>11.77</c:v>
                </c:pt>
                <c:pt idx="27">
                  <c:v>13.02</c:v>
                </c:pt>
                <c:pt idx="28">
                  <c:v>12.54</c:v>
                </c:pt>
                <c:pt idx="29">
                  <c:v>12.44</c:v>
                </c:pt>
                <c:pt idx="30">
                  <c:v>12.64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A16-46A8-8288-AADD86152456}"/>
            </c:ext>
          </c:extLst>
        </c:ser>
        <c:ser>
          <c:idx val="1"/>
          <c:order val="1"/>
          <c:tx>
            <c:strRef>
              <c:f>'1月CEMS日監測'!$C$25</c:f>
              <c:strCache>
                <c:ptCount val="1"/>
                <c:pt idx="0">
                  <c:v>P201</c:v>
                </c:pt>
              </c:strCache>
            </c:strRef>
          </c:tx>
          <c:marker>
            <c:symbol val="none"/>
          </c:marker>
          <c:cat>
            <c:strRef>
              <c:f>'1月CEMS日監測'!$E$2:$AI$2</c:f>
              <c:strCache>
                <c:ptCount val="31"/>
                <c:pt idx="0">
                  <c:v>1/1</c:v>
                </c:pt>
                <c:pt idx="1">
                  <c:v>1/2</c:v>
                </c:pt>
                <c:pt idx="2">
                  <c:v>1/3</c:v>
                </c:pt>
                <c:pt idx="3">
                  <c:v>1/4</c:v>
                </c:pt>
                <c:pt idx="4">
                  <c:v>1/5</c:v>
                </c:pt>
                <c:pt idx="5">
                  <c:v>1/6</c:v>
                </c:pt>
                <c:pt idx="6">
                  <c:v>1/7</c:v>
                </c:pt>
                <c:pt idx="7">
                  <c:v>1/8</c:v>
                </c:pt>
                <c:pt idx="8">
                  <c:v>1/9</c:v>
                </c:pt>
                <c:pt idx="9">
                  <c:v>1/10</c:v>
                </c:pt>
                <c:pt idx="10">
                  <c:v>1/11</c:v>
                </c:pt>
                <c:pt idx="11">
                  <c:v>1/12</c:v>
                </c:pt>
                <c:pt idx="12">
                  <c:v>1/13</c:v>
                </c:pt>
                <c:pt idx="13">
                  <c:v>1/14</c:v>
                </c:pt>
                <c:pt idx="14">
                  <c:v>1/15</c:v>
                </c:pt>
                <c:pt idx="15">
                  <c:v>1/16</c:v>
                </c:pt>
                <c:pt idx="16">
                  <c:v>1/17</c:v>
                </c:pt>
                <c:pt idx="17">
                  <c:v>1/18</c:v>
                </c:pt>
                <c:pt idx="18">
                  <c:v>1/19</c:v>
                </c:pt>
                <c:pt idx="19">
                  <c:v>1/20</c:v>
                </c:pt>
                <c:pt idx="20">
                  <c:v>1/21</c:v>
                </c:pt>
                <c:pt idx="21">
                  <c:v>1/22</c:v>
                </c:pt>
                <c:pt idx="22">
                  <c:v>1/23</c:v>
                </c:pt>
                <c:pt idx="23">
                  <c:v>1/24</c:v>
                </c:pt>
                <c:pt idx="24">
                  <c:v>1/25</c:v>
                </c:pt>
                <c:pt idx="25">
                  <c:v>1/26</c:v>
                </c:pt>
                <c:pt idx="26">
                  <c:v>1/27</c:v>
                </c:pt>
                <c:pt idx="27">
                  <c:v>1/28</c:v>
                </c:pt>
                <c:pt idx="28">
                  <c:v>1/29</c:v>
                </c:pt>
                <c:pt idx="29">
                  <c:v>1/30</c:v>
                </c:pt>
                <c:pt idx="30">
                  <c:v>1/31</c:v>
                </c:pt>
              </c:strCache>
            </c:strRef>
          </c:cat>
          <c:val>
            <c:numRef>
              <c:f>'1月CEMS日監測'!$E$27:$AI$27</c:f>
              <c:numCache>
                <c:formatCode>0.00_);[Red]\(0.00\)</c:formatCode>
                <c:ptCount val="31"/>
                <c:pt idx="0">
                  <c:v>8.85</c:v>
                </c:pt>
                <c:pt idx="1">
                  <c:v>6.22</c:v>
                </c:pt>
                <c:pt idx="2">
                  <c:v>9.17</c:v>
                </c:pt>
                <c:pt idx="3">
                  <c:v>14.63</c:v>
                </c:pt>
                <c:pt idx="4">
                  <c:v>10.16</c:v>
                </c:pt>
                <c:pt idx="5">
                  <c:v>9.57</c:v>
                </c:pt>
                <c:pt idx="6">
                  <c:v>11.9</c:v>
                </c:pt>
                <c:pt idx="7">
                  <c:v>12.17</c:v>
                </c:pt>
                <c:pt idx="8">
                  <c:v>10.56</c:v>
                </c:pt>
                <c:pt idx="9">
                  <c:v>9.5500000000000007</c:v>
                </c:pt>
                <c:pt idx="10">
                  <c:v>11.84</c:v>
                </c:pt>
                <c:pt idx="11">
                  <c:v>8.8800000000000008</c:v>
                </c:pt>
                <c:pt idx="12">
                  <c:v>6.42</c:v>
                </c:pt>
                <c:pt idx="13">
                  <c:v>11.22</c:v>
                </c:pt>
                <c:pt idx="14">
                  <c:v>11.23</c:v>
                </c:pt>
                <c:pt idx="15">
                  <c:v>12.26</c:v>
                </c:pt>
                <c:pt idx="16">
                  <c:v>12.31</c:v>
                </c:pt>
                <c:pt idx="17">
                  <c:v>13.36</c:v>
                </c:pt>
                <c:pt idx="18">
                  <c:v>15.25</c:v>
                </c:pt>
                <c:pt idx="19">
                  <c:v>14.75</c:v>
                </c:pt>
                <c:pt idx="20">
                  <c:v>19.72</c:v>
                </c:pt>
                <c:pt idx="21">
                  <c:v>15.16</c:v>
                </c:pt>
                <c:pt idx="22">
                  <c:v>13.31</c:v>
                </c:pt>
                <c:pt idx="23">
                  <c:v>14.48</c:v>
                </c:pt>
                <c:pt idx="24">
                  <c:v>15.13</c:v>
                </c:pt>
                <c:pt idx="25">
                  <c:v>11.95</c:v>
                </c:pt>
                <c:pt idx="26">
                  <c:v>11.63</c:v>
                </c:pt>
                <c:pt idx="27">
                  <c:v>13.31</c:v>
                </c:pt>
                <c:pt idx="28">
                  <c:v>11.63</c:v>
                </c:pt>
                <c:pt idx="29">
                  <c:v>11.35</c:v>
                </c:pt>
                <c:pt idx="30">
                  <c:v>10.67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A16-46A8-8288-AADD86152456}"/>
            </c:ext>
          </c:extLst>
        </c:ser>
        <c:ser>
          <c:idx val="3"/>
          <c:order val="2"/>
          <c:tx>
            <c:strRef>
              <c:f>'1月CEMS日監測'!$D$107</c:f>
              <c:strCache>
                <c:ptCount val="1"/>
                <c:pt idx="0">
                  <c:v>契約限值</c:v>
                </c:pt>
              </c:strCache>
            </c:strRef>
          </c:tx>
          <c:marker>
            <c:symbol val="none"/>
          </c:marker>
          <c:cat>
            <c:strRef>
              <c:f>'1月CEMS日監測'!$E$2:$AI$2</c:f>
              <c:strCache>
                <c:ptCount val="31"/>
                <c:pt idx="0">
                  <c:v>1/1</c:v>
                </c:pt>
                <c:pt idx="1">
                  <c:v>1/2</c:v>
                </c:pt>
                <c:pt idx="2">
                  <c:v>1/3</c:v>
                </c:pt>
                <c:pt idx="3">
                  <c:v>1/4</c:v>
                </c:pt>
                <c:pt idx="4">
                  <c:v>1/5</c:v>
                </c:pt>
                <c:pt idx="5">
                  <c:v>1/6</c:v>
                </c:pt>
                <c:pt idx="6">
                  <c:v>1/7</c:v>
                </c:pt>
                <c:pt idx="7">
                  <c:v>1/8</c:v>
                </c:pt>
                <c:pt idx="8">
                  <c:v>1/9</c:v>
                </c:pt>
                <c:pt idx="9">
                  <c:v>1/10</c:v>
                </c:pt>
                <c:pt idx="10">
                  <c:v>1/11</c:v>
                </c:pt>
                <c:pt idx="11">
                  <c:v>1/12</c:v>
                </c:pt>
                <c:pt idx="12">
                  <c:v>1/13</c:v>
                </c:pt>
                <c:pt idx="13">
                  <c:v>1/14</c:v>
                </c:pt>
                <c:pt idx="14">
                  <c:v>1/15</c:v>
                </c:pt>
                <c:pt idx="15">
                  <c:v>1/16</c:v>
                </c:pt>
                <c:pt idx="16">
                  <c:v>1/17</c:v>
                </c:pt>
                <c:pt idx="17">
                  <c:v>1/18</c:v>
                </c:pt>
                <c:pt idx="18">
                  <c:v>1/19</c:v>
                </c:pt>
                <c:pt idx="19">
                  <c:v>1/20</c:v>
                </c:pt>
                <c:pt idx="20">
                  <c:v>1/21</c:v>
                </c:pt>
                <c:pt idx="21">
                  <c:v>1/22</c:v>
                </c:pt>
                <c:pt idx="22">
                  <c:v>1/23</c:v>
                </c:pt>
                <c:pt idx="23">
                  <c:v>1/24</c:v>
                </c:pt>
                <c:pt idx="24">
                  <c:v>1/25</c:v>
                </c:pt>
                <c:pt idx="25">
                  <c:v>1/26</c:v>
                </c:pt>
                <c:pt idx="26">
                  <c:v>1/27</c:v>
                </c:pt>
                <c:pt idx="27">
                  <c:v>1/28</c:v>
                </c:pt>
                <c:pt idx="28">
                  <c:v>1/29</c:v>
                </c:pt>
                <c:pt idx="29">
                  <c:v>1/30</c:v>
                </c:pt>
                <c:pt idx="30">
                  <c:v>1/31</c:v>
                </c:pt>
              </c:strCache>
            </c:strRef>
          </c:cat>
          <c:val>
            <c:numRef>
              <c:f>'1月CEMS日監測'!$E$111:$AH$111</c:f>
              <c:numCache>
                <c:formatCode>General</c:formatCode>
                <c:ptCount val="30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  <c:pt idx="7">
                  <c:v>30</c:v>
                </c:pt>
                <c:pt idx="8">
                  <c:v>30</c:v>
                </c:pt>
                <c:pt idx="9">
                  <c:v>30</c:v>
                </c:pt>
                <c:pt idx="10">
                  <c:v>30</c:v>
                </c:pt>
                <c:pt idx="11">
                  <c:v>30</c:v>
                </c:pt>
                <c:pt idx="12">
                  <c:v>30</c:v>
                </c:pt>
                <c:pt idx="13">
                  <c:v>30</c:v>
                </c:pt>
                <c:pt idx="14">
                  <c:v>30</c:v>
                </c:pt>
                <c:pt idx="15">
                  <c:v>30</c:v>
                </c:pt>
                <c:pt idx="16">
                  <c:v>30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  <c:pt idx="20">
                  <c:v>30</c:v>
                </c:pt>
                <c:pt idx="21">
                  <c:v>30</c:v>
                </c:pt>
                <c:pt idx="22">
                  <c:v>30</c:v>
                </c:pt>
                <c:pt idx="23">
                  <c:v>30</c:v>
                </c:pt>
                <c:pt idx="24">
                  <c:v>30</c:v>
                </c:pt>
                <c:pt idx="25">
                  <c:v>30</c:v>
                </c:pt>
                <c:pt idx="26">
                  <c:v>30</c:v>
                </c:pt>
                <c:pt idx="27">
                  <c:v>30</c:v>
                </c:pt>
                <c:pt idx="28">
                  <c:v>30</c:v>
                </c:pt>
                <c:pt idx="29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A16-46A8-8288-AADD861524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59695264"/>
        <c:axId val="-59695808"/>
      </c:lineChart>
      <c:catAx>
        <c:axId val="-59695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/>
          <a:lstStyle/>
          <a:p>
            <a:pPr>
              <a:defRPr sz="1100">
                <a:latin typeface="標楷體" panose="03000509000000000000" pitchFamily="65" charset="-120"/>
                <a:ea typeface="標楷體" panose="03000509000000000000" pitchFamily="65" charset="-120"/>
              </a:defRPr>
            </a:pPr>
            <a:endParaRPr lang="zh-TW"/>
          </a:p>
        </c:txPr>
        <c:crossAx val="-59695808"/>
        <c:crosses val="autoZero"/>
        <c:auto val="1"/>
        <c:lblAlgn val="ctr"/>
        <c:lblOffset val="100"/>
        <c:noMultiLvlLbl val="0"/>
      </c:catAx>
      <c:valAx>
        <c:axId val="-59695808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vert="horz"/>
          <a:lstStyle/>
          <a:p>
            <a:pPr>
              <a:defRPr sz="1100">
                <a:latin typeface="Times New Roman" panose="02020603050405020304" pitchFamily="18" charset="0"/>
                <a:ea typeface="標楷體" panose="03000509000000000000" pitchFamily="65" charset="-120"/>
                <a:cs typeface="Times New Roman" panose="02020603050405020304" pitchFamily="18" charset="0"/>
              </a:defRPr>
            </a:pPr>
            <a:endParaRPr lang="zh-TW"/>
          </a:p>
        </c:txPr>
        <c:crossAx val="-59695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vert="horz"/>
        <a:lstStyle/>
        <a:p>
          <a:pPr>
            <a:defRPr sz="1100">
              <a:latin typeface="標楷體" panose="03000509000000000000" pitchFamily="65" charset="-120"/>
              <a:ea typeface="標楷體" panose="03000509000000000000" pitchFamily="65" charset="-120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  <a:latin typeface="微軟正黑體" panose="020B0604030504040204" pitchFamily="34" charset="-120"/>
          <a:ea typeface="微軟正黑體" panose="020B0604030504040204" pitchFamily="34" charset="-120"/>
        </a:defRPr>
      </a:pPr>
      <a:endParaRPr lang="zh-TW"/>
    </a:p>
  </c:txPr>
  <c:printSettings>
    <c:headerFooter/>
    <c:pageMargins b="0.750000000000002" l="0.70000000000000062" r="0.70000000000000062" t="0.750000000000002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327531</xdr:colOff>
      <xdr:row>51</xdr:row>
      <xdr:rowOff>27338</xdr:rowOff>
    </xdr:from>
    <xdr:to>
      <xdr:col>22</xdr:col>
      <xdr:colOff>306001</xdr:colOff>
      <xdr:row>64</xdr:row>
      <xdr:rowOff>139485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B7ED5E61-C40E-43FB-99BE-45085A7B4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323638</xdr:colOff>
      <xdr:row>64</xdr:row>
      <xdr:rowOff>73397</xdr:rowOff>
    </xdr:from>
    <xdr:to>
      <xdr:col>22</xdr:col>
      <xdr:colOff>302108</xdr:colOff>
      <xdr:row>77</xdr:row>
      <xdr:rowOff>185544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15F6825B-B028-4613-AFF6-C51FEB21D9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337542</xdr:colOff>
      <xdr:row>37</xdr:row>
      <xdr:rowOff>143934</xdr:rowOff>
    </xdr:from>
    <xdr:to>
      <xdr:col>22</xdr:col>
      <xdr:colOff>316012</xdr:colOff>
      <xdr:row>51</xdr:row>
      <xdr:rowOff>43169</xdr:rowOff>
    </xdr:to>
    <xdr:graphicFrame macro="">
      <xdr:nvGraphicFramePr>
        <xdr:cNvPr id="4" name="圖表 3">
          <a:extLst>
            <a:ext uri="{FF2B5EF4-FFF2-40B4-BE49-F238E27FC236}">
              <a16:creationId xmlns:a16="http://schemas.microsoft.com/office/drawing/2014/main" id="{8E618B83-EEBA-46C8-8A47-9A97932FF6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315874</xdr:colOff>
      <xdr:row>91</xdr:row>
      <xdr:rowOff>21377</xdr:rowOff>
    </xdr:from>
    <xdr:to>
      <xdr:col>22</xdr:col>
      <xdr:colOff>294344</xdr:colOff>
      <xdr:row>104</xdr:row>
      <xdr:rowOff>133524</xdr:rowOff>
    </xdr:to>
    <xdr:graphicFrame macro="">
      <xdr:nvGraphicFramePr>
        <xdr:cNvPr id="5" name="圖表 4">
          <a:extLst>
            <a:ext uri="{FF2B5EF4-FFF2-40B4-BE49-F238E27FC236}">
              <a16:creationId xmlns:a16="http://schemas.microsoft.com/office/drawing/2014/main" id="{1FBE42A9-E3C4-4CCD-AFF1-DFBB129B10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311522</xdr:colOff>
      <xdr:row>77</xdr:row>
      <xdr:rowOff>153137</xdr:rowOff>
    </xdr:from>
    <xdr:to>
      <xdr:col>22</xdr:col>
      <xdr:colOff>289992</xdr:colOff>
      <xdr:row>91</xdr:row>
      <xdr:rowOff>52373</xdr:rowOff>
    </xdr:to>
    <xdr:graphicFrame macro="">
      <xdr:nvGraphicFramePr>
        <xdr:cNvPr id="6" name="圖表 5">
          <a:extLst>
            <a:ext uri="{FF2B5EF4-FFF2-40B4-BE49-F238E27FC236}">
              <a16:creationId xmlns:a16="http://schemas.microsoft.com/office/drawing/2014/main" id="{54DDC71D-6E39-49DE-9B9D-4950BD0ACD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327531</xdr:colOff>
      <xdr:row>51</xdr:row>
      <xdr:rowOff>27338</xdr:rowOff>
    </xdr:from>
    <xdr:to>
      <xdr:col>22</xdr:col>
      <xdr:colOff>306001</xdr:colOff>
      <xdr:row>64</xdr:row>
      <xdr:rowOff>139485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A7B58C48-243C-410A-87E7-780532025D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323638</xdr:colOff>
      <xdr:row>64</xdr:row>
      <xdr:rowOff>73397</xdr:rowOff>
    </xdr:from>
    <xdr:to>
      <xdr:col>22</xdr:col>
      <xdr:colOff>302108</xdr:colOff>
      <xdr:row>77</xdr:row>
      <xdr:rowOff>185544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F5DB6BBE-F698-45B4-ABCF-913A97E97F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337542</xdr:colOff>
      <xdr:row>37</xdr:row>
      <xdr:rowOff>143934</xdr:rowOff>
    </xdr:from>
    <xdr:to>
      <xdr:col>22</xdr:col>
      <xdr:colOff>316012</xdr:colOff>
      <xdr:row>51</xdr:row>
      <xdr:rowOff>43169</xdr:rowOff>
    </xdr:to>
    <xdr:graphicFrame macro="">
      <xdr:nvGraphicFramePr>
        <xdr:cNvPr id="4" name="圖表 3">
          <a:extLst>
            <a:ext uri="{FF2B5EF4-FFF2-40B4-BE49-F238E27FC236}">
              <a16:creationId xmlns:a16="http://schemas.microsoft.com/office/drawing/2014/main" id="{F333E182-F2A2-4F45-A614-0CFB4A3DE7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315874</xdr:colOff>
      <xdr:row>91</xdr:row>
      <xdr:rowOff>21377</xdr:rowOff>
    </xdr:from>
    <xdr:to>
      <xdr:col>22</xdr:col>
      <xdr:colOff>294344</xdr:colOff>
      <xdr:row>104</xdr:row>
      <xdr:rowOff>133524</xdr:rowOff>
    </xdr:to>
    <xdr:graphicFrame macro="">
      <xdr:nvGraphicFramePr>
        <xdr:cNvPr id="5" name="圖表 4">
          <a:extLst>
            <a:ext uri="{FF2B5EF4-FFF2-40B4-BE49-F238E27FC236}">
              <a16:creationId xmlns:a16="http://schemas.microsoft.com/office/drawing/2014/main" id="{783079F4-8BCC-4076-B22C-832517B8AF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311522</xdr:colOff>
      <xdr:row>77</xdr:row>
      <xdr:rowOff>153137</xdr:rowOff>
    </xdr:from>
    <xdr:to>
      <xdr:col>22</xdr:col>
      <xdr:colOff>289992</xdr:colOff>
      <xdr:row>91</xdr:row>
      <xdr:rowOff>52373</xdr:rowOff>
    </xdr:to>
    <xdr:graphicFrame macro="">
      <xdr:nvGraphicFramePr>
        <xdr:cNvPr id="6" name="圖表 5">
          <a:extLst>
            <a:ext uri="{FF2B5EF4-FFF2-40B4-BE49-F238E27FC236}">
              <a16:creationId xmlns:a16="http://schemas.microsoft.com/office/drawing/2014/main" id="{8C8A8CDD-1FCD-4C7E-9363-AAABE1B5D0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B2712-8400-4FFB-91AC-AFEE217C987C}">
  <sheetPr>
    <tabColor theme="9"/>
  </sheetPr>
  <dimension ref="A1:BH112"/>
  <sheetViews>
    <sheetView tabSelected="1" topLeftCell="S1" zoomScale="85" zoomScaleNormal="85" workbookViewId="0">
      <pane ySplit="3" topLeftCell="A4" activePane="bottomLeft" state="frozen"/>
      <selection pane="bottomLeft" activeCell="BG6" sqref="BG6"/>
    </sheetView>
  </sheetViews>
  <sheetFormatPr defaultRowHeight="16.5"/>
  <cols>
    <col min="1" max="1" width="2.75" customWidth="1"/>
    <col min="2" max="2" width="7.5" customWidth="1"/>
    <col min="3" max="3" width="4.25" customWidth="1"/>
    <col min="4" max="4" width="9" customWidth="1"/>
    <col min="5" max="32" width="5.625" customWidth="1"/>
    <col min="33" max="33" width="6.625" bestFit="1" customWidth="1"/>
    <col min="34" max="35" width="5.625" customWidth="1"/>
    <col min="36" max="40" width="8.5" customWidth="1"/>
    <col min="41" max="41" width="3.5" customWidth="1"/>
    <col min="42" max="42" width="12.125" bestFit="1" customWidth="1"/>
    <col min="43" max="43" width="6.5" bestFit="1" customWidth="1"/>
    <col min="44" max="45" width="6.5" customWidth="1"/>
    <col min="46" max="47" width="6.5" bestFit="1" customWidth="1"/>
    <col min="48" max="49" width="6.5" customWidth="1"/>
    <col min="50" max="51" width="6.5" bestFit="1" customWidth="1"/>
    <col min="52" max="53" width="6.5" customWidth="1"/>
    <col min="54" max="55" width="6.5" bestFit="1" customWidth="1"/>
    <col min="56" max="57" width="6.5" customWidth="1"/>
    <col min="58" max="60" width="6.5" bestFit="1" customWidth="1"/>
    <col min="61" max="74" width="3.5" customWidth="1"/>
  </cols>
  <sheetData>
    <row r="1" spans="2:60" ht="17.25" thickBot="1">
      <c r="AP1" s="74" t="s">
        <v>51</v>
      </c>
      <c r="AQ1" s="120"/>
      <c r="AR1" s="120"/>
      <c r="AS1" s="120"/>
      <c r="AT1" s="120"/>
      <c r="AU1" s="120"/>
      <c r="AV1" s="120"/>
      <c r="AW1" s="120"/>
      <c r="AX1" s="120"/>
      <c r="AY1" s="120"/>
      <c r="AZ1" s="120"/>
      <c r="BA1" s="120"/>
      <c r="BB1" s="120"/>
      <c r="BC1" s="120"/>
      <c r="BD1" s="120"/>
      <c r="BE1" s="120"/>
      <c r="BF1" s="120"/>
      <c r="BG1" s="120"/>
      <c r="BH1" s="75"/>
    </row>
    <row r="2" spans="2:60">
      <c r="B2" s="89" t="s">
        <v>0</v>
      </c>
      <c r="C2" s="91" t="s">
        <v>1</v>
      </c>
      <c r="D2" s="89" t="s">
        <v>2</v>
      </c>
      <c r="E2" s="1" t="s">
        <v>123</v>
      </c>
      <c r="F2" s="1" t="s">
        <v>124</v>
      </c>
      <c r="G2" s="1" t="s">
        <v>125</v>
      </c>
      <c r="H2" s="1" t="s">
        <v>126</v>
      </c>
      <c r="I2" s="1" t="s">
        <v>127</v>
      </c>
      <c r="J2" s="1" t="s">
        <v>128</v>
      </c>
      <c r="K2" s="1" t="s">
        <v>129</v>
      </c>
      <c r="L2" s="1" t="s">
        <v>130</v>
      </c>
      <c r="M2" s="1" t="s">
        <v>131</v>
      </c>
      <c r="N2" s="1" t="s">
        <v>132</v>
      </c>
      <c r="O2" s="1" t="s">
        <v>133</v>
      </c>
      <c r="P2" s="1" t="s">
        <v>134</v>
      </c>
      <c r="Q2" s="1" t="s">
        <v>135</v>
      </c>
      <c r="R2" s="1" t="s">
        <v>136</v>
      </c>
      <c r="S2" s="1" t="s">
        <v>137</v>
      </c>
      <c r="T2" s="1" t="s">
        <v>138</v>
      </c>
      <c r="U2" s="1" t="s">
        <v>139</v>
      </c>
      <c r="V2" s="1" t="s">
        <v>140</v>
      </c>
      <c r="W2" s="1" t="s">
        <v>141</v>
      </c>
      <c r="X2" s="1" t="s">
        <v>142</v>
      </c>
      <c r="Y2" s="1" t="s">
        <v>143</v>
      </c>
      <c r="Z2" s="1" t="s">
        <v>144</v>
      </c>
      <c r="AA2" s="1" t="s">
        <v>145</v>
      </c>
      <c r="AB2" s="1" t="s">
        <v>146</v>
      </c>
      <c r="AC2" s="1" t="s">
        <v>147</v>
      </c>
      <c r="AD2" s="1" t="s">
        <v>148</v>
      </c>
      <c r="AE2" s="1" t="s">
        <v>149</v>
      </c>
      <c r="AF2" s="1" t="s">
        <v>150</v>
      </c>
      <c r="AG2" s="72" t="s">
        <v>3</v>
      </c>
      <c r="AP2" s="41" t="s">
        <v>36</v>
      </c>
      <c r="AQ2" s="82" t="s">
        <v>7</v>
      </c>
      <c r="AR2" s="121"/>
      <c r="AS2" s="121"/>
      <c r="AT2" s="83"/>
      <c r="AU2" s="82" t="s">
        <v>9</v>
      </c>
      <c r="AV2" s="121"/>
      <c r="AW2" s="121"/>
      <c r="AX2" s="83"/>
      <c r="AY2" s="82" t="s">
        <v>50</v>
      </c>
      <c r="AZ2" s="121"/>
      <c r="BA2" s="121"/>
      <c r="BB2" s="83"/>
      <c r="BC2" s="82" t="s">
        <v>12</v>
      </c>
      <c r="BD2" s="121"/>
      <c r="BE2" s="121"/>
      <c r="BF2" s="83"/>
      <c r="BG2" s="82" t="s">
        <v>35</v>
      </c>
      <c r="BH2" s="83"/>
    </row>
    <row r="3" spans="2:60" ht="17.25" thickBot="1">
      <c r="B3" s="90"/>
      <c r="C3" s="92"/>
      <c r="D3" s="90"/>
      <c r="E3" s="2" t="s">
        <v>30</v>
      </c>
      <c r="F3" s="2" t="s">
        <v>83</v>
      </c>
      <c r="G3" s="2" t="s">
        <v>84</v>
      </c>
      <c r="H3" s="2" t="s">
        <v>89</v>
      </c>
      <c r="I3" s="2" t="s">
        <v>85</v>
      </c>
      <c r="J3" s="2" t="s">
        <v>86</v>
      </c>
      <c r="K3" s="2" t="s">
        <v>87</v>
      </c>
      <c r="L3" s="2" t="s">
        <v>30</v>
      </c>
      <c r="M3" s="2" t="s">
        <v>83</v>
      </c>
      <c r="N3" s="2" t="s">
        <v>84</v>
      </c>
      <c r="O3" s="2" t="s">
        <v>89</v>
      </c>
      <c r="P3" s="2" t="s">
        <v>85</v>
      </c>
      <c r="Q3" s="2" t="s">
        <v>86</v>
      </c>
      <c r="R3" s="2" t="s">
        <v>87</v>
      </c>
      <c r="S3" s="2" t="s">
        <v>30</v>
      </c>
      <c r="T3" s="2" t="s">
        <v>83</v>
      </c>
      <c r="U3" s="2" t="s">
        <v>84</v>
      </c>
      <c r="V3" s="2" t="s">
        <v>89</v>
      </c>
      <c r="W3" s="2" t="s">
        <v>85</v>
      </c>
      <c r="X3" s="2" t="s">
        <v>86</v>
      </c>
      <c r="Y3" s="2" t="s">
        <v>87</v>
      </c>
      <c r="Z3" s="2" t="s">
        <v>30</v>
      </c>
      <c r="AA3" s="2" t="s">
        <v>83</v>
      </c>
      <c r="AB3" s="2" t="s">
        <v>84</v>
      </c>
      <c r="AC3" s="2" t="s">
        <v>89</v>
      </c>
      <c r="AD3" s="2" t="s">
        <v>85</v>
      </c>
      <c r="AE3" s="2" t="s">
        <v>86</v>
      </c>
      <c r="AF3" s="2" t="s">
        <v>87</v>
      </c>
      <c r="AG3" s="73"/>
      <c r="AJ3" s="122" t="s">
        <v>30</v>
      </c>
      <c r="AK3" s="122" t="s">
        <v>1</v>
      </c>
      <c r="AL3" s="122" t="s">
        <v>29</v>
      </c>
      <c r="AM3" s="122" t="s">
        <v>31</v>
      </c>
      <c r="AN3" s="122" t="s">
        <v>32</v>
      </c>
      <c r="AP3" s="41" t="s">
        <v>1</v>
      </c>
      <c r="AQ3" s="82" t="s">
        <v>34</v>
      </c>
      <c r="AR3" s="83"/>
      <c r="AS3" s="84" t="s">
        <v>33</v>
      </c>
      <c r="AT3" s="85"/>
      <c r="AU3" s="82" t="s">
        <v>34</v>
      </c>
      <c r="AV3" s="83"/>
      <c r="AW3" s="84" t="s">
        <v>33</v>
      </c>
      <c r="AX3" s="85"/>
      <c r="AY3" s="82" t="s">
        <v>34</v>
      </c>
      <c r="AZ3" s="83"/>
      <c r="BA3" s="84" t="s">
        <v>33</v>
      </c>
      <c r="BB3" s="85"/>
      <c r="BC3" s="82" t="s">
        <v>34</v>
      </c>
      <c r="BD3" s="83"/>
      <c r="BE3" s="84" t="s">
        <v>33</v>
      </c>
      <c r="BF3" s="85"/>
      <c r="BG3" s="42" t="s">
        <v>34</v>
      </c>
      <c r="BH3" s="43" t="s">
        <v>33</v>
      </c>
    </row>
    <row r="4" spans="2:60">
      <c r="B4" s="76" t="s">
        <v>5</v>
      </c>
      <c r="C4" s="79" t="s">
        <v>34</v>
      </c>
      <c r="D4" s="5" t="s">
        <v>6</v>
      </c>
      <c r="E4" s="6">
        <v>1.75</v>
      </c>
      <c r="F4" s="6"/>
      <c r="G4" s="6"/>
      <c r="H4" s="6"/>
      <c r="I4" s="6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37">
        <f>AVERAGE(E4:AF4)</f>
        <v>1.75</v>
      </c>
      <c r="AJ4" s="69">
        <v>1</v>
      </c>
      <c r="AK4" s="69" t="s">
        <v>33</v>
      </c>
      <c r="AL4" s="70">
        <v>0.54166666666666663</v>
      </c>
      <c r="AM4" s="69" t="s">
        <v>92</v>
      </c>
      <c r="AN4" s="69">
        <v>61.51</v>
      </c>
      <c r="AP4" s="87" t="s">
        <v>48</v>
      </c>
      <c r="AQ4" s="46" t="s">
        <v>46</v>
      </c>
      <c r="AR4" s="46" t="s">
        <v>47</v>
      </c>
      <c r="AS4" s="47" t="s">
        <v>46</v>
      </c>
      <c r="AT4" s="47" t="s">
        <v>47</v>
      </c>
      <c r="AU4" s="46" t="s">
        <v>46</v>
      </c>
      <c r="AV4" s="46" t="s">
        <v>47</v>
      </c>
      <c r="AW4" s="47" t="s">
        <v>46</v>
      </c>
      <c r="AX4" s="47" t="s">
        <v>47</v>
      </c>
      <c r="AY4" s="46" t="s">
        <v>46</v>
      </c>
      <c r="AZ4" s="46" t="s">
        <v>47</v>
      </c>
      <c r="BA4" s="47" t="s">
        <v>46</v>
      </c>
      <c r="BB4" s="47" t="s">
        <v>47</v>
      </c>
      <c r="BC4" s="46" t="s">
        <v>46</v>
      </c>
      <c r="BD4" s="46" t="s">
        <v>47</v>
      </c>
      <c r="BE4" s="47" t="s">
        <v>46</v>
      </c>
      <c r="BF4" s="47" t="s">
        <v>47</v>
      </c>
      <c r="BG4" s="74" t="s">
        <v>49</v>
      </c>
      <c r="BH4" s="75"/>
    </row>
    <row r="5" spans="2:60">
      <c r="B5" s="77"/>
      <c r="C5" s="80"/>
      <c r="D5" s="9" t="s">
        <v>8</v>
      </c>
      <c r="E5" s="10">
        <v>14.1</v>
      </c>
      <c r="F5" s="10"/>
      <c r="G5" s="10"/>
      <c r="H5" s="10"/>
      <c r="I5" s="10"/>
      <c r="J5" s="61"/>
      <c r="K5" s="61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38">
        <f>AVERAGE(E5:AF5)</f>
        <v>14.1</v>
      </c>
      <c r="AJ5" s="69">
        <v>1</v>
      </c>
      <c r="AK5" s="69" t="s">
        <v>33</v>
      </c>
      <c r="AL5" s="70">
        <v>0.75</v>
      </c>
      <c r="AM5" s="69" t="s">
        <v>92</v>
      </c>
      <c r="AN5" s="69">
        <v>60.09</v>
      </c>
      <c r="AP5" s="88"/>
      <c r="AQ5" s="41" t="s">
        <v>37</v>
      </c>
      <c r="AR5" s="41" t="s">
        <v>42</v>
      </c>
      <c r="AS5" s="48" t="s">
        <v>37</v>
      </c>
      <c r="AT5" s="48" t="s">
        <v>42</v>
      </c>
      <c r="AU5" s="41" t="s">
        <v>38</v>
      </c>
      <c r="AV5" s="41" t="s">
        <v>43</v>
      </c>
      <c r="AW5" s="48" t="s">
        <v>38</v>
      </c>
      <c r="AX5" s="48" t="s">
        <v>43</v>
      </c>
      <c r="AY5" s="41" t="s">
        <v>39</v>
      </c>
      <c r="AZ5" s="41" t="s">
        <v>44</v>
      </c>
      <c r="BA5" s="48" t="s">
        <v>39</v>
      </c>
      <c r="BB5" s="48" t="s">
        <v>44</v>
      </c>
      <c r="BC5" s="41" t="s">
        <v>40</v>
      </c>
      <c r="BD5" s="41" t="s">
        <v>45</v>
      </c>
      <c r="BE5" s="48" t="s">
        <v>40</v>
      </c>
      <c r="BF5" s="48">
        <v>40</v>
      </c>
      <c r="BG5" s="41">
        <v>10</v>
      </c>
      <c r="BH5" s="41">
        <v>10</v>
      </c>
    </row>
    <row r="6" spans="2:60" ht="17.25" thickBot="1">
      <c r="B6" s="77"/>
      <c r="C6" s="81"/>
      <c r="D6" s="11" t="s">
        <v>10</v>
      </c>
      <c r="E6" s="12">
        <v>5.23</v>
      </c>
      <c r="F6" s="12"/>
      <c r="G6" s="12"/>
      <c r="H6" s="12"/>
      <c r="I6" s="12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39">
        <f>AVERAGE(E6:AF6)</f>
        <v>5.23</v>
      </c>
      <c r="AJ6" s="123"/>
      <c r="AK6" s="123"/>
      <c r="AL6" s="124"/>
      <c r="AM6" s="123"/>
      <c r="AN6" s="123"/>
      <c r="AP6" s="46" t="s">
        <v>123</v>
      </c>
      <c r="AQ6" s="44">
        <v>0</v>
      </c>
      <c r="AR6" s="44">
        <v>0</v>
      </c>
      <c r="AS6" s="45">
        <v>0</v>
      </c>
      <c r="AT6" s="45">
        <v>0</v>
      </c>
      <c r="AU6" s="44">
        <v>0</v>
      </c>
      <c r="AV6" s="44">
        <v>0</v>
      </c>
      <c r="AW6" s="45">
        <v>0</v>
      </c>
      <c r="AX6" s="45">
        <v>0</v>
      </c>
      <c r="AY6" s="44"/>
      <c r="AZ6" s="44"/>
      <c r="BA6" s="45"/>
      <c r="BB6" s="45"/>
      <c r="BC6" s="44">
        <v>0</v>
      </c>
      <c r="BD6" s="44">
        <v>0</v>
      </c>
      <c r="BE6" s="45">
        <v>0</v>
      </c>
      <c r="BF6" s="45">
        <v>0</v>
      </c>
      <c r="BG6" s="44"/>
      <c r="BH6" s="45"/>
    </row>
    <row r="7" spans="2:60" ht="17.25" thickTop="1">
      <c r="B7" s="77"/>
      <c r="C7" s="80" t="s">
        <v>33</v>
      </c>
      <c r="D7" s="14" t="s">
        <v>6</v>
      </c>
      <c r="E7" s="15">
        <v>0</v>
      </c>
      <c r="F7" s="15"/>
      <c r="G7" s="15"/>
      <c r="H7" s="15"/>
      <c r="I7" s="15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38">
        <f>AVERAGE(E7:AF7)</f>
        <v>0</v>
      </c>
      <c r="AJ7" s="123"/>
      <c r="AK7" s="123"/>
      <c r="AL7" s="124"/>
      <c r="AM7" s="123"/>
      <c r="AN7" s="123"/>
      <c r="AP7" s="46" t="s">
        <v>124</v>
      </c>
      <c r="AQ7" s="44"/>
      <c r="AR7" s="44"/>
      <c r="AS7" s="45"/>
      <c r="AT7" s="45"/>
      <c r="AU7" s="44"/>
      <c r="AV7" s="44"/>
      <c r="AW7" s="45"/>
      <c r="AX7" s="45"/>
      <c r="AY7" s="44"/>
      <c r="AZ7" s="44"/>
      <c r="BA7" s="45"/>
      <c r="BB7" s="45"/>
      <c r="BC7" s="44"/>
      <c r="BD7" s="44"/>
      <c r="BE7" s="45"/>
      <c r="BF7" s="45"/>
      <c r="BG7" s="44"/>
      <c r="BH7" s="45"/>
    </row>
    <row r="8" spans="2:60">
      <c r="B8" s="77"/>
      <c r="C8" s="80"/>
      <c r="D8" s="9" t="s">
        <v>8</v>
      </c>
      <c r="E8" s="10">
        <v>15.6</v>
      </c>
      <c r="F8" s="10"/>
      <c r="G8" s="10"/>
      <c r="H8" s="10"/>
      <c r="I8" s="10"/>
      <c r="J8" s="61"/>
      <c r="K8" s="61"/>
      <c r="L8" s="61"/>
      <c r="M8" s="61"/>
      <c r="N8" s="61"/>
      <c r="O8" s="61"/>
      <c r="P8" s="61"/>
      <c r="Q8" s="61"/>
      <c r="R8" s="61"/>
      <c r="S8" s="61"/>
      <c r="T8" s="61"/>
      <c r="U8" s="61"/>
      <c r="V8" s="61"/>
      <c r="W8" s="61"/>
      <c r="X8" s="61"/>
      <c r="Y8" s="61"/>
      <c r="Z8" s="61"/>
      <c r="AA8" s="61"/>
      <c r="AB8" s="61"/>
      <c r="AC8" s="61"/>
      <c r="AD8" s="61"/>
      <c r="AE8" s="61"/>
      <c r="AF8" s="61"/>
      <c r="AG8" s="38">
        <f>AVERAGE(E8:AF8)</f>
        <v>15.6</v>
      </c>
      <c r="AJ8" s="123"/>
      <c r="AK8" s="123"/>
      <c r="AL8" s="124"/>
      <c r="AM8" s="123"/>
      <c r="AN8" s="123"/>
      <c r="AP8" s="46" t="s">
        <v>125</v>
      </c>
      <c r="AQ8" s="44"/>
      <c r="AR8" s="44"/>
      <c r="AS8" s="45"/>
      <c r="AT8" s="45"/>
      <c r="AU8" s="44"/>
      <c r="AV8" s="44"/>
      <c r="AW8" s="45"/>
      <c r="AX8" s="45"/>
      <c r="AY8" s="44"/>
      <c r="AZ8" s="44"/>
      <c r="BA8" s="45"/>
      <c r="BB8" s="45"/>
      <c r="BC8" s="44"/>
      <c r="BD8" s="44"/>
      <c r="BE8" s="45"/>
      <c r="BF8" s="45"/>
      <c r="BG8" s="44"/>
      <c r="BH8" s="45"/>
    </row>
    <row r="9" spans="2:60" ht="17.25" thickBot="1">
      <c r="B9" s="78"/>
      <c r="C9" s="86"/>
      <c r="D9" s="17" t="s">
        <v>10</v>
      </c>
      <c r="E9" s="18">
        <v>3.9</v>
      </c>
      <c r="F9" s="18"/>
      <c r="G9" s="18"/>
      <c r="H9" s="18"/>
      <c r="I9" s="18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35">
        <f>AVERAGE(E9:AF9)</f>
        <v>3.9</v>
      </c>
      <c r="AJ9" s="123"/>
      <c r="AK9" s="123"/>
      <c r="AL9" s="124"/>
      <c r="AM9" s="123"/>
      <c r="AN9" s="123"/>
      <c r="AP9" s="46" t="s">
        <v>126</v>
      </c>
      <c r="AQ9" s="44"/>
      <c r="AR9" s="44"/>
      <c r="AS9" s="45"/>
      <c r="AT9" s="45"/>
      <c r="AU9" s="44"/>
      <c r="AV9" s="44"/>
      <c r="AW9" s="45"/>
      <c r="AX9" s="45"/>
      <c r="AY9" s="44"/>
      <c r="AZ9" s="44"/>
      <c r="BA9" s="45"/>
      <c r="BB9" s="45"/>
      <c r="BC9" s="44"/>
      <c r="BD9" s="44"/>
      <c r="BE9" s="45"/>
      <c r="BF9" s="45"/>
      <c r="BG9" s="44"/>
      <c r="BH9" s="45"/>
    </row>
    <row r="10" spans="2:60">
      <c r="B10" s="76" t="s">
        <v>14</v>
      </c>
      <c r="C10" s="79" t="s">
        <v>34</v>
      </c>
      <c r="D10" s="5" t="s">
        <v>6</v>
      </c>
      <c r="E10" s="20">
        <v>56.18</v>
      </c>
      <c r="F10" s="20"/>
      <c r="G10" s="20"/>
      <c r="H10" s="20"/>
      <c r="I10" s="20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37">
        <f>AVERAGE(E10:AF10)</f>
        <v>56.18</v>
      </c>
      <c r="AJ10" s="123"/>
      <c r="AK10" s="123"/>
      <c r="AL10" s="124"/>
      <c r="AM10" s="123"/>
      <c r="AN10" s="123"/>
      <c r="AP10" s="46" t="s">
        <v>127</v>
      </c>
      <c r="AQ10" s="44"/>
      <c r="AR10" s="44"/>
      <c r="AS10" s="45"/>
      <c r="AT10" s="45"/>
      <c r="AU10" s="44"/>
      <c r="AV10" s="44"/>
      <c r="AW10" s="45"/>
      <c r="AX10" s="45"/>
      <c r="AY10" s="44"/>
      <c r="AZ10" s="44"/>
      <c r="BA10" s="45"/>
      <c r="BB10" s="45"/>
      <c r="BC10" s="44"/>
      <c r="BD10" s="44"/>
      <c r="BE10" s="45"/>
      <c r="BF10" s="45"/>
      <c r="BG10" s="44"/>
      <c r="BH10" s="45"/>
    </row>
    <row r="11" spans="2:60">
      <c r="B11" s="77"/>
      <c r="C11" s="80"/>
      <c r="D11" s="9" t="s">
        <v>8</v>
      </c>
      <c r="E11" s="10">
        <v>67.41</v>
      </c>
      <c r="F11" s="10"/>
      <c r="G11" s="10"/>
      <c r="H11" s="10"/>
      <c r="I11" s="10"/>
      <c r="J11" s="61"/>
      <c r="K11" s="61"/>
      <c r="L11" s="61"/>
      <c r="M11" s="61"/>
      <c r="N11" s="61"/>
      <c r="O11" s="61"/>
      <c r="P11" s="61"/>
      <c r="Q11" s="61"/>
      <c r="R11" s="61"/>
      <c r="S11" s="61"/>
      <c r="T11" s="61"/>
      <c r="U11" s="61"/>
      <c r="V11" s="61"/>
      <c r="W11" s="61"/>
      <c r="X11" s="61"/>
      <c r="Y11" s="61"/>
      <c r="Z11" s="61"/>
      <c r="AA11" s="61"/>
      <c r="AB11" s="61"/>
      <c r="AC11" s="61"/>
      <c r="AD11" s="61"/>
      <c r="AE11" s="61"/>
      <c r="AF11" s="61"/>
      <c r="AG11" s="38">
        <f>AVERAGE(E11:AF11)</f>
        <v>67.41</v>
      </c>
      <c r="AJ11" s="123"/>
      <c r="AK11" s="123"/>
      <c r="AL11" s="124"/>
      <c r="AM11" s="123"/>
      <c r="AN11" s="123"/>
      <c r="AP11" s="46" t="s">
        <v>128</v>
      </c>
      <c r="AQ11" s="44"/>
      <c r="AR11" s="44"/>
      <c r="AS11" s="45"/>
      <c r="AT11" s="45"/>
      <c r="AU11" s="44"/>
      <c r="AV11" s="44"/>
      <c r="AW11" s="45"/>
      <c r="AX11" s="45"/>
      <c r="AY11" s="44"/>
      <c r="AZ11" s="44"/>
      <c r="BA11" s="45"/>
      <c r="BB11" s="45"/>
      <c r="BC11" s="44"/>
      <c r="BD11" s="44"/>
      <c r="BE11" s="45"/>
      <c r="BF11" s="45"/>
      <c r="BG11" s="44"/>
      <c r="BH11" s="45"/>
    </row>
    <row r="12" spans="2:60" ht="17.25" thickBot="1">
      <c r="B12" s="77"/>
      <c r="C12" s="81"/>
      <c r="D12" s="11" t="s">
        <v>10</v>
      </c>
      <c r="E12" s="12">
        <v>61.54</v>
      </c>
      <c r="F12" s="12"/>
      <c r="G12" s="12"/>
      <c r="H12" s="12"/>
      <c r="I12" s="12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39">
        <f>AVERAGE(E12:AF12)</f>
        <v>61.54</v>
      </c>
      <c r="AJ12" s="123"/>
      <c r="AK12" s="123"/>
      <c r="AL12" s="124"/>
      <c r="AM12" s="123"/>
      <c r="AN12" s="123"/>
      <c r="AP12" s="46" t="s">
        <v>129</v>
      </c>
      <c r="AQ12" s="44"/>
      <c r="AR12" s="44"/>
      <c r="AS12" s="45"/>
      <c r="AT12" s="45"/>
      <c r="AU12" s="44"/>
      <c r="AV12" s="44"/>
      <c r="AW12" s="45"/>
      <c r="AX12" s="45"/>
      <c r="AY12" s="44"/>
      <c r="AZ12" s="44"/>
      <c r="BA12" s="45"/>
      <c r="BB12" s="45"/>
      <c r="BC12" s="44"/>
      <c r="BD12" s="44"/>
      <c r="BE12" s="45"/>
      <c r="BF12" s="45"/>
      <c r="BG12" s="44"/>
      <c r="BH12" s="45"/>
    </row>
    <row r="13" spans="2:60" ht="17.25" thickTop="1">
      <c r="B13" s="77"/>
      <c r="C13" s="80" t="s">
        <v>33</v>
      </c>
      <c r="D13" s="14" t="s">
        <v>6</v>
      </c>
      <c r="E13" s="15">
        <v>33.299999999999997</v>
      </c>
      <c r="F13" s="15"/>
      <c r="G13" s="15"/>
      <c r="H13" s="15"/>
      <c r="I13" s="15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38">
        <f>AVERAGE(E13:AF13)</f>
        <v>33.299999999999997</v>
      </c>
      <c r="AJ13" s="123"/>
      <c r="AK13" s="123"/>
      <c r="AL13" s="124"/>
      <c r="AM13" s="123"/>
      <c r="AN13" s="123"/>
      <c r="AP13" s="46" t="s">
        <v>130</v>
      </c>
      <c r="AQ13" s="44"/>
      <c r="AR13" s="44"/>
      <c r="AS13" s="45"/>
      <c r="AT13" s="45"/>
      <c r="AU13" s="44"/>
      <c r="AV13" s="44"/>
      <c r="AW13" s="45"/>
      <c r="AX13" s="45"/>
      <c r="AY13" s="44"/>
      <c r="AZ13" s="44"/>
      <c r="BA13" s="45"/>
      <c r="BB13" s="45"/>
      <c r="BC13" s="44"/>
      <c r="BD13" s="44"/>
      <c r="BE13" s="45"/>
      <c r="BF13" s="45"/>
      <c r="BG13" s="44"/>
      <c r="BH13" s="45"/>
    </row>
    <row r="14" spans="2:60">
      <c r="B14" s="77"/>
      <c r="C14" s="80"/>
      <c r="D14" s="9" t="s">
        <v>8</v>
      </c>
      <c r="E14" s="10">
        <v>62.11</v>
      </c>
      <c r="F14" s="10"/>
      <c r="G14" s="10"/>
      <c r="H14" s="10"/>
      <c r="I14" s="10"/>
      <c r="J14" s="61"/>
      <c r="K14" s="61"/>
      <c r="L14" s="61"/>
      <c r="M14" s="61"/>
      <c r="N14" s="61"/>
      <c r="O14" s="61"/>
      <c r="P14" s="61"/>
      <c r="Q14" s="61"/>
      <c r="R14" s="61"/>
      <c r="S14" s="61"/>
      <c r="T14" s="61"/>
      <c r="U14" s="61"/>
      <c r="V14" s="61"/>
      <c r="W14" s="61"/>
      <c r="X14" s="61"/>
      <c r="Y14" s="61"/>
      <c r="Z14" s="61"/>
      <c r="AA14" s="61"/>
      <c r="AB14" s="61"/>
      <c r="AC14" s="61"/>
      <c r="AD14" s="61"/>
      <c r="AE14" s="61"/>
      <c r="AF14" s="61"/>
      <c r="AG14" s="38">
        <f>AVERAGE(E14:AF14)</f>
        <v>62.11</v>
      </c>
      <c r="AJ14" s="123"/>
      <c r="AK14" s="123"/>
      <c r="AL14" s="124"/>
      <c r="AM14" s="123"/>
      <c r="AN14" s="123"/>
      <c r="AP14" s="46" t="s">
        <v>131</v>
      </c>
      <c r="AQ14" s="44"/>
      <c r="AR14" s="44"/>
      <c r="AS14" s="45"/>
      <c r="AT14" s="45"/>
      <c r="AU14" s="44"/>
      <c r="AV14" s="44"/>
      <c r="AW14" s="45"/>
      <c r="AX14" s="45"/>
      <c r="AY14" s="44"/>
      <c r="AZ14" s="44"/>
      <c r="BA14" s="45"/>
      <c r="BB14" s="45"/>
      <c r="BC14" s="44"/>
      <c r="BD14" s="44"/>
      <c r="BE14" s="45"/>
      <c r="BF14" s="45"/>
      <c r="BG14" s="44"/>
      <c r="BH14" s="45"/>
    </row>
    <row r="15" spans="2:60" ht="17.25" thickBot="1">
      <c r="B15" s="78"/>
      <c r="C15" s="86"/>
      <c r="D15" s="17" t="s">
        <v>10</v>
      </c>
      <c r="E15" s="18">
        <v>51.73</v>
      </c>
      <c r="F15" s="18"/>
      <c r="G15" s="18"/>
      <c r="H15" s="18"/>
      <c r="I15" s="18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35">
        <f>AVERAGE(E15:AF15)</f>
        <v>51.73</v>
      </c>
      <c r="AJ15" s="123"/>
      <c r="AK15" s="123"/>
      <c r="AL15" s="124"/>
      <c r="AM15" s="123"/>
      <c r="AN15" s="123"/>
      <c r="AP15" s="46" t="s">
        <v>132</v>
      </c>
      <c r="AQ15" s="44"/>
      <c r="AR15" s="44"/>
      <c r="AS15" s="45"/>
      <c r="AT15" s="45"/>
      <c r="AU15" s="44"/>
      <c r="AV15" s="44"/>
      <c r="AW15" s="45"/>
      <c r="AX15" s="45"/>
      <c r="AY15" s="44"/>
      <c r="AZ15" s="44"/>
      <c r="BA15" s="45"/>
      <c r="BB15" s="45"/>
      <c r="BC15" s="44"/>
      <c r="BD15" s="44"/>
      <c r="BE15" s="45"/>
      <c r="BF15" s="45"/>
      <c r="BG15" s="44"/>
      <c r="BH15" s="45"/>
    </row>
    <row r="16" spans="2:60">
      <c r="B16" s="76" t="s">
        <v>15</v>
      </c>
      <c r="C16" s="79" t="s">
        <v>34</v>
      </c>
      <c r="D16" s="5" t="s">
        <v>6</v>
      </c>
      <c r="E16" s="6">
        <v>4.1900000000000004</v>
      </c>
      <c r="F16" s="6"/>
      <c r="G16" s="6"/>
      <c r="H16" s="6"/>
      <c r="I16" s="6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37">
        <f>AVERAGE(E16:AF16)</f>
        <v>4.1900000000000004</v>
      </c>
      <c r="AJ16" s="123"/>
      <c r="AK16" s="123"/>
      <c r="AL16" s="124"/>
      <c r="AM16" s="123"/>
      <c r="AN16" s="123"/>
      <c r="AP16" s="46" t="s">
        <v>133</v>
      </c>
      <c r="AQ16" s="44"/>
      <c r="AR16" s="44"/>
      <c r="AS16" s="45"/>
      <c r="AT16" s="45"/>
      <c r="AU16" s="44"/>
      <c r="AV16" s="44"/>
      <c r="AW16" s="45"/>
      <c r="AX16" s="45"/>
      <c r="AY16" s="44"/>
      <c r="AZ16" s="44"/>
      <c r="BA16" s="45"/>
      <c r="BB16" s="45"/>
      <c r="BC16" s="44"/>
      <c r="BD16" s="44"/>
      <c r="BE16" s="45"/>
      <c r="BF16" s="45"/>
      <c r="BG16" s="44"/>
      <c r="BH16" s="45"/>
    </row>
    <row r="17" spans="2:60">
      <c r="B17" s="77"/>
      <c r="C17" s="80"/>
      <c r="D17" s="9" t="s">
        <v>8</v>
      </c>
      <c r="E17" s="10">
        <v>48.19</v>
      </c>
      <c r="F17" s="10"/>
      <c r="G17" s="10"/>
      <c r="H17" s="10"/>
      <c r="I17" s="10"/>
      <c r="J17" s="61"/>
      <c r="K17" s="61"/>
      <c r="L17" s="61"/>
      <c r="M17" s="61"/>
      <c r="N17" s="61"/>
      <c r="O17" s="61"/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61"/>
      <c r="AA17" s="61"/>
      <c r="AB17" s="61"/>
      <c r="AC17" s="61"/>
      <c r="AD17" s="61"/>
      <c r="AE17" s="61"/>
      <c r="AF17" s="61"/>
      <c r="AG17" s="38">
        <f>AVERAGE(E17:AF17)</f>
        <v>48.19</v>
      </c>
      <c r="AJ17" s="125"/>
      <c r="AK17" s="125"/>
      <c r="AL17" s="126"/>
      <c r="AM17" s="125"/>
      <c r="AN17" s="125"/>
      <c r="AP17" s="46" t="s">
        <v>134</v>
      </c>
      <c r="AQ17" s="44"/>
      <c r="AR17" s="44"/>
      <c r="AS17" s="45"/>
      <c r="AT17" s="45"/>
      <c r="AU17" s="44"/>
      <c r="AV17" s="44"/>
      <c r="AW17" s="45"/>
      <c r="AX17" s="45"/>
      <c r="AY17" s="51"/>
      <c r="AZ17" s="51"/>
      <c r="BA17" s="50"/>
      <c r="BB17" s="50"/>
      <c r="BC17" s="44"/>
      <c r="BD17" s="44"/>
      <c r="BE17" s="45"/>
      <c r="BF17" s="45"/>
      <c r="BG17" s="44"/>
      <c r="BH17" s="45"/>
    </row>
    <row r="18" spans="2:60" ht="17.25" thickBot="1">
      <c r="B18" s="77"/>
      <c r="C18" s="81"/>
      <c r="D18" s="11" t="s">
        <v>10</v>
      </c>
      <c r="E18" s="12">
        <v>17.149999999999999</v>
      </c>
      <c r="F18" s="12"/>
      <c r="G18" s="12"/>
      <c r="H18" s="12"/>
      <c r="I18" s="12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39">
        <f>AVERAGE(E18:AF18)</f>
        <v>17.149999999999999</v>
      </c>
      <c r="AJ18" s="125"/>
      <c r="AK18" s="125"/>
      <c r="AL18" s="126"/>
      <c r="AM18" s="125"/>
      <c r="AN18" s="125"/>
      <c r="AP18" s="46" t="s">
        <v>135</v>
      </c>
      <c r="AQ18" s="44"/>
      <c r="AR18" s="44"/>
      <c r="AS18" s="45"/>
      <c r="AT18" s="45"/>
      <c r="AU18" s="44"/>
      <c r="AV18" s="44"/>
      <c r="AW18" s="45"/>
      <c r="AX18" s="45"/>
      <c r="AY18" s="51"/>
      <c r="AZ18" s="51"/>
      <c r="BA18" s="50"/>
      <c r="BB18" s="50"/>
      <c r="BC18" s="44"/>
      <c r="BD18" s="44"/>
      <c r="BE18" s="45"/>
      <c r="BF18" s="45"/>
      <c r="BG18" s="44"/>
      <c r="BH18" s="45"/>
    </row>
    <row r="19" spans="2:60" ht="17.25" thickTop="1">
      <c r="B19" s="77"/>
      <c r="C19" s="80" t="s">
        <v>33</v>
      </c>
      <c r="D19" s="14" t="s">
        <v>6</v>
      </c>
      <c r="E19" s="15">
        <v>0.87</v>
      </c>
      <c r="F19" s="15"/>
      <c r="G19" s="15"/>
      <c r="H19" s="15"/>
      <c r="I19" s="15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38">
        <f>AVERAGE(E19:AF19)</f>
        <v>0.87</v>
      </c>
      <c r="AJ19" s="125"/>
      <c r="AK19" s="125"/>
      <c r="AL19" s="126"/>
      <c r="AM19" s="125"/>
      <c r="AN19" s="125"/>
      <c r="AP19" s="46" t="s">
        <v>136</v>
      </c>
      <c r="AQ19" s="44"/>
      <c r="AR19" s="44"/>
      <c r="AS19" s="45"/>
      <c r="AT19" s="45"/>
      <c r="AU19" s="44"/>
      <c r="AV19" s="44"/>
      <c r="AW19" s="45"/>
      <c r="AX19" s="45"/>
      <c r="AY19" s="44"/>
      <c r="AZ19" s="44"/>
      <c r="BA19" s="45"/>
      <c r="BB19" s="45"/>
      <c r="BC19" s="44"/>
      <c r="BD19" s="44"/>
      <c r="BE19" s="45"/>
      <c r="BF19" s="45"/>
      <c r="BG19" s="44"/>
      <c r="BH19" s="45"/>
    </row>
    <row r="20" spans="2:60">
      <c r="B20" s="77"/>
      <c r="C20" s="80"/>
      <c r="D20" s="9" t="s">
        <v>8</v>
      </c>
      <c r="E20" s="10">
        <v>61.51</v>
      </c>
      <c r="F20" s="10"/>
      <c r="G20" s="10"/>
      <c r="H20" s="10"/>
      <c r="I20" s="10"/>
      <c r="J20" s="61"/>
      <c r="K20" s="61"/>
      <c r="L20" s="61"/>
      <c r="M20" s="61"/>
      <c r="N20" s="61"/>
      <c r="O20" s="61"/>
      <c r="P20" s="61"/>
      <c r="Q20" s="61"/>
      <c r="R20" s="61"/>
      <c r="S20" s="61"/>
      <c r="T20" s="61"/>
      <c r="U20" s="61"/>
      <c r="V20" s="61"/>
      <c r="W20" s="61"/>
      <c r="X20" s="61"/>
      <c r="Y20" s="61"/>
      <c r="Z20" s="61"/>
      <c r="AA20" s="61"/>
      <c r="AB20" s="61"/>
      <c r="AC20" s="61"/>
      <c r="AD20" s="61"/>
      <c r="AE20" s="61"/>
      <c r="AF20" s="61"/>
      <c r="AG20" s="38">
        <f>AVERAGE(E20:AF20)</f>
        <v>61.51</v>
      </c>
      <c r="AJ20" s="125"/>
      <c r="AK20" s="125"/>
      <c r="AL20" s="126"/>
      <c r="AM20" s="125"/>
      <c r="AN20" s="125"/>
      <c r="AP20" s="46" t="s">
        <v>137</v>
      </c>
      <c r="AQ20" s="44"/>
      <c r="AR20" s="44"/>
      <c r="AS20" s="45"/>
      <c r="AT20" s="45"/>
      <c r="AU20" s="44"/>
      <c r="AV20" s="44"/>
      <c r="AW20" s="45"/>
      <c r="AX20" s="45"/>
      <c r="AY20" s="44"/>
      <c r="AZ20" s="44"/>
      <c r="BA20" s="45"/>
      <c r="BB20" s="45"/>
      <c r="BC20" s="44"/>
      <c r="BD20" s="44"/>
      <c r="BE20" s="45"/>
      <c r="BF20" s="45"/>
      <c r="BG20" s="51"/>
      <c r="BH20" s="45"/>
    </row>
    <row r="21" spans="2:60" ht="17.25" thickBot="1">
      <c r="B21" s="78"/>
      <c r="C21" s="86"/>
      <c r="D21" s="17" t="s">
        <v>10</v>
      </c>
      <c r="E21" s="18">
        <v>22.6</v>
      </c>
      <c r="F21" s="18"/>
      <c r="G21" s="18"/>
      <c r="H21" s="18"/>
      <c r="I21" s="18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40">
        <f>AVERAGE(E21:AF21)</f>
        <v>22.6</v>
      </c>
      <c r="AJ21" s="125"/>
      <c r="AK21" s="125"/>
      <c r="AL21" s="126"/>
      <c r="AM21" s="125"/>
      <c r="AN21" s="125"/>
      <c r="AP21" s="46" t="s">
        <v>138</v>
      </c>
      <c r="AQ21" s="51"/>
      <c r="AR21" s="51"/>
      <c r="AS21" s="45"/>
      <c r="AT21" s="45"/>
      <c r="AU21" s="51"/>
      <c r="AV21" s="51"/>
      <c r="AW21" s="45"/>
      <c r="AX21" s="45"/>
      <c r="AY21" s="51"/>
      <c r="AZ21" s="51"/>
      <c r="BA21" s="50"/>
      <c r="BB21" s="50"/>
      <c r="BC21" s="51"/>
      <c r="BD21" s="51"/>
      <c r="BE21" s="45"/>
      <c r="BF21" s="45"/>
      <c r="BG21" s="51"/>
      <c r="BH21" s="45"/>
    </row>
    <row r="22" spans="2:60">
      <c r="B22" s="76" t="s">
        <v>16</v>
      </c>
      <c r="C22" s="79" t="s">
        <v>34</v>
      </c>
      <c r="D22" s="5" t="s">
        <v>6</v>
      </c>
      <c r="E22" s="6">
        <v>8.7899999999999991</v>
      </c>
      <c r="F22" s="6"/>
      <c r="G22" s="6"/>
      <c r="H22" s="6"/>
      <c r="I22" s="6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37">
        <f>AVERAGE(E22:AF22)</f>
        <v>8.7899999999999991</v>
      </c>
      <c r="AJ22" s="125"/>
      <c r="AK22" s="125"/>
      <c r="AL22" s="126"/>
      <c r="AM22" s="125"/>
      <c r="AN22" s="125"/>
      <c r="AP22" s="46" t="s">
        <v>139</v>
      </c>
      <c r="AQ22" s="51"/>
      <c r="AR22" s="51"/>
      <c r="AS22" s="45"/>
      <c r="AT22" s="45"/>
      <c r="AU22" s="51"/>
      <c r="AV22" s="51"/>
      <c r="AW22" s="45"/>
      <c r="AX22" s="45"/>
      <c r="AY22" s="51"/>
      <c r="AZ22" s="51"/>
      <c r="BA22" s="50"/>
      <c r="BB22" s="50"/>
      <c r="BC22" s="51"/>
      <c r="BD22" s="51"/>
      <c r="BE22" s="50"/>
      <c r="BF22" s="50"/>
      <c r="BG22" s="51"/>
      <c r="BH22" s="50"/>
    </row>
    <row r="23" spans="2:60">
      <c r="B23" s="77"/>
      <c r="C23" s="80"/>
      <c r="D23" s="9" t="s">
        <v>8</v>
      </c>
      <c r="E23" s="10">
        <v>20.55</v>
      </c>
      <c r="F23" s="10"/>
      <c r="G23" s="10"/>
      <c r="H23" s="10"/>
      <c r="I23" s="10"/>
      <c r="J23" s="61"/>
      <c r="K23" s="61"/>
      <c r="L23" s="61"/>
      <c r="M23" s="61"/>
      <c r="N23" s="61"/>
      <c r="O23" s="61"/>
      <c r="P23" s="61"/>
      <c r="Q23" s="61"/>
      <c r="R23" s="61"/>
      <c r="S23" s="61"/>
      <c r="T23" s="61"/>
      <c r="U23" s="61"/>
      <c r="V23" s="61"/>
      <c r="W23" s="61"/>
      <c r="X23" s="61"/>
      <c r="Y23" s="61"/>
      <c r="Z23" s="61"/>
      <c r="AA23" s="61"/>
      <c r="AB23" s="61"/>
      <c r="AC23" s="61"/>
      <c r="AD23" s="61"/>
      <c r="AE23" s="61"/>
      <c r="AF23" s="61"/>
      <c r="AG23" s="38">
        <f>AVERAGE(E23:AF23)</f>
        <v>20.55</v>
      </c>
      <c r="AJ23" s="125"/>
      <c r="AK23" s="125"/>
      <c r="AL23" s="126"/>
      <c r="AM23" s="125"/>
      <c r="AN23" s="125"/>
      <c r="AP23" s="46" t="s">
        <v>140</v>
      </c>
      <c r="AQ23" s="51"/>
      <c r="AR23" s="51"/>
      <c r="AS23" s="45"/>
      <c r="AT23" s="45"/>
      <c r="AU23" s="51"/>
      <c r="AV23" s="51"/>
      <c r="AW23" s="45"/>
      <c r="AX23" s="45"/>
      <c r="AY23" s="51"/>
      <c r="AZ23" s="51"/>
      <c r="BA23" s="50"/>
      <c r="BB23" s="50"/>
      <c r="BC23" s="51"/>
      <c r="BD23" s="51"/>
      <c r="BE23" s="50"/>
      <c r="BF23" s="50"/>
      <c r="BG23" s="51"/>
      <c r="BH23" s="50"/>
    </row>
    <row r="24" spans="2:60" ht="17.25" thickBot="1">
      <c r="B24" s="77"/>
      <c r="C24" s="81"/>
      <c r="D24" s="11" t="s">
        <v>10</v>
      </c>
      <c r="E24" s="12">
        <v>13.35</v>
      </c>
      <c r="F24" s="12"/>
      <c r="G24" s="12"/>
      <c r="H24" s="12"/>
      <c r="I24" s="12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39">
        <f>AVERAGE(E24:AF24)</f>
        <v>13.35</v>
      </c>
      <c r="AJ24" s="125"/>
      <c r="AK24" s="125"/>
      <c r="AL24" s="126"/>
      <c r="AM24" s="125"/>
      <c r="AN24" s="125"/>
      <c r="AP24" s="46" t="s">
        <v>141</v>
      </c>
      <c r="AQ24" s="51"/>
      <c r="AR24" s="51"/>
      <c r="AS24" s="45"/>
      <c r="AT24" s="45"/>
      <c r="AU24" s="51"/>
      <c r="AV24" s="51"/>
      <c r="AW24" s="45"/>
      <c r="AX24" s="45"/>
      <c r="AY24" s="51"/>
      <c r="AZ24" s="51"/>
      <c r="BA24" s="50"/>
      <c r="BB24" s="50"/>
      <c r="BC24" s="51"/>
      <c r="BD24" s="51"/>
      <c r="BE24" s="50"/>
      <c r="BF24" s="50"/>
      <c r="BG24" s="51"/>
      <c r="BH24" s="50"/>
    </row>
    <row r="25" spans="2:60" ht="17.25" thickTop="1">
      <c r="B25" s="77"/>
      <c r="C25" s="80" t="s">
        <v>33</v>
      </c>
      <c r="D25" s="14" t="s">
        <v>6</v>
      </c>
      <c r="E25" s="15">
        <v>8.23</v>
      </c>
      <c r="F25" s="15"/>
      <c r="G25" s="15"/>
      <c r="H25" s="15"/>
      <c r="I25" s="15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38">
        <f>AVERAGE(E25:AF25)</f>
        <v>8.23</v>
      </c>
      <c r="AJ25" s="125"/>
      <c r="AK25" s="125"/>
      <c r="AL25" s="126"/>
      <c r="AM25" s="125"/>
      <c r="AN25" s="125"/>
      <c r="AP25" s="46" t="s">
        <v>142</v>
      </c>
      <c r="AQ25" s="51"/>
      <c r="AR25" s="51"/>
      <c r="AS25" s="45"/>
      <c r="AT25" s="45"/>
      <c r="AU25" s="51"/>
      <c r="AV25" s="51"/>
      <c r="AW25" s="45"/>
      <c r="AX25" s="45"/>
      <c r="AY25" s="51"/>
      <c r="AZ25" s="51"/>
      <c r="BA25" s="50"/>
      <c r="BB25" s="50"/>
      <c r="BC25" s="51"/>
      <c r="BD25" s="51"/>
      <c r="BE25" s="50"/>
      <c r="BF25" s="50"/>
      <c r="BG25" s="51"/>
      <c r="BH25" s="50"/>
    </row>
    <row r="26" spans="2:60">
      <c r="B26" s="77"/>
      <c r="C26" s="80"/>
      <c r="D26" s="9" t="s">
        <v>8</v>
      </c>
      <c r="E26" s="10">
        <v>22.23</v>
      </c>
      <c r="F26" s="10"/>
      <c r="G26" s="10"/>
      <c r="H26" s="10"/>
      <c r="I26" s="10"/>
      <c r="J26" s="61"/>
      <c r="K26" s="61"/>
      <c r="L26" s="61"/>
      <c r="M26" s="61"/>
      <c r="N26" s="61"/>
      <c r="O26" s="61"/>
      <c r="P26" s="61"/>
      <c r="Q26" s="61"/>
      <c r="R26" s="61"/>
      <c r="S26" s="61"/>
      <c r="T26" s="61"/>
      <c r="U26" s="61"/>
      <c r="V26" s="61"/>
      <c r="W26" s="61"/>
      <c r="X26" s="61"/>
      <c r="Y26" s="61"/>
      <c r="Z26" s="61"/>
      <c r="AA26" s="61"/>
      <c r="AB26" s="61"/>
      <c r="AC26" s="61"/>
      <c r="AD26" s="61"/>
      <c r="AE26" s="61"/>
      <c r="AF26" s="61"/>
      <c r="AG26" s="38">
        <f>AVERAGE(E26:AF26)</f>
        <v>22.23</v>
      </c>
      <c r="AJ26" s="125"/>
      <c r="AK26" s="125"/>
      <c r="AL26" s="126"/>
      <c r="AM26" s="125"/>
      <c r="AN26" s="125"/>
      <c r="AP26" s="46" t="s">
        <v>143</v>
      </c>
      <c r="AQ26" s="51"/>
      <c r="AR26" s="51"/>
      <c r="AS26" s="45"/>
      <c r="AT26" s="45"/>
      <c r="AU26" s="51"/>
      <c r="AV26" s="51"/>
      <c r="AW26" s="45"/>
      <c r="AX26" s="45"/>
      <c r="AY26" s="51"/>
      <c r="AZ26" s="51"/>
      <c r="BA26" s="50"/>
      <c r="BB26" s="50"/>
      <c r="BC26" s="51"/>
      <c r="BD26" s="51"/>
      <c r="BE26" s="45"/>
      <c r="BF26" s="45"/>
      <c r="BG26" s="51"/>
      <c r="BH26" s="45"/>
    </row>
    <row r="27" spans="2:60" ht="17.25" thickBot="1">
      <c r="B27" s="78"/>
      <c r="C27" s="86"/>
      <c r="D27" s="17" t="s">
        <v>10</v>
      </c>
      <c r="E27" s="18">
        <v>13.52</v>
      </c>
      <c r="F27" s="18"/>
      <c r="G27" s="18"/>
      <c r="H27" s="18"/>
      <c r="I27" s="18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35">
        <f>AVERAGE(E27:AF27)</f>
        <v>13.52</v>
      </c>
      <c r="AJ27" s="125"/>
      <c r="AK27" s="125"/>
      <c r="AL27" s="126"/>
      <c r="AM27" s="125"/>
      <c r="AN27" s="125"/>
      <c r="AP27" s="46" t="s">
        <v>144</v>
      </c>
      <c r="AQ27" s="51"/>
      <c r="AR27" s="51"/>
      <c r="AS27" s="45"/>
      <c r="AT27" s="45"/>
      <c r="AU27" s="51"/>
      <c r="AV27" s="51"/>
      <c r="AW27" s="45"/>
      <c r="AX27" s="45"/>
      <c r="AY27" s="51"/>
      <c r="AZ27" s="51"/>
      <c r="BA27" s="50"/>
      <c r="BB27" s="50"/>
      <c r="BC27" s="51"/>
      <c r="BD27" s="51"/>
      <c r="BE27" s="45"/>
      <c r="BF27" s="45"/>
      <c r="BG27" s="51"/>
      <c r="BH27" s="45"/>
    </row>
    <row r="28" spans="2:60">
      <c r="B28" s="93" t="s">
        <v>17</v>
      </c>
      <c r="C28" s="79" t="s">
        <v>34</v>
      </c>
      <c r="D28" s="14" t="s">
        <v>6</v>
      </c>
      <c r="E28" s="15"/>
      <c r="F28" s="15"/>
      <c r="G28" s="15"/>
      <c r="H28" s="15"/>
      <c r="I28" s="15"/>
      <c r="J28" s="16"/>
      <c r="K28" s="16"/>
      <c r="L28" s="15"/>
      <c r="M28" s="15"/>
      <c r="N28" s="15"/>
      <c r="O28" s="15"/>
      <c r="P28" s="15"/>
      <c r="Q28" s="7"/>
      <c r="R28" s="16"/>
      <c r="S28" s="16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38" t="e">
        <f>AVERAGE(E28:AF28)</f>
        <v>#DIV/0!</v>
      </c>
      <c r="AJ28" s="125"/>
      <c r="AK28" s="125"/>
      <c r="AL28" s="126"/>
      <c r="AM28" s="125"/>
      <c r="AN28" s="125"/>
      <c r="AP28" s="46" t="s">
        <v>145</v>
      </c>
      <c r="AQ28" s="51"/>
      <c r="AR28" s="51"/>
      <c r="AS28" s="45"/>
      <c r="AT28" s="45"/>
      <c r="AU28" s="51"/>
      <c r="AV28" s="60"/>
      <c r="AW28" s="45"/>
      <c r="AX28" s="45"/>
      <c r="AY28" s="51"/>
      <c r="AZ28" s="51"/>
      <c r="BA28" s="50"/>
      <c r="BB28" s="50"/>
      <c r="BC28" s="51"/>
      <c r="BD28" s="51"/>
      <c r="BE28" s="45"/>
      <c r="BF28" s="45"/>
      <c r="BG28" s="51"/>
      <c r="BH28" s="45"/>
    </row>
    <row r="29" spans="2:60">
      <c r="B29" s="77"/>
      <c r="C29" s="80"/>
      <c r="D29" s="9" t="s">
        <v>8</v>
      </c>
      <c r="E29" s="10"/>
      <c r="F29" s="10"/>
      <c r="G29" s="10"/>
      <c r="H29" s="10"/>
      <c r="I29" s="10"/>
      <c r="J29" s="61"/>
      <c r="K29" s="61"/>
      <c r="L29" s="10"/>
      <c r="M29" s="10"/>
      <c r="N29" s="10"/>
      <c r="O29" s="10"/>
      <c r="P29" s="10"/>
      <c r="Q29" s="61"/>
      <c r="R29" s="61"/>
      <c r="S29" s="61"/>
      <c r="T29" s="61"/>
      <c r="U29" s="61"/>
      <c r="V29" s="61"/>
      <c r="W29" s="61"/>
      <c r="X29" s="61"/>
      <c r="Y29" s="61"/>
      <c r="Z29" s="61"/>
      <c r="AA29" s="61"/>
      <c r="AB29" s="61"/>
      <c r="AC29" s="61"/>
      <c r="AD29" s="61"/>
      <c r="AE29" s="61"/>
      <c r="AF29" s="61"/>
      <c r="AG29" s="38" t="e">
        <f>AVERAGE(E29:AF29)</f>
        <v>#DIV/0!</v>
      </c>
      <c r="AJ29" s="125"/>
      <c r="AK29" s="125"/>
      <c r="AL29" s="126"/>
      <c r="AM29" s="125"/>
      <c r="AN29" s="125"/>
      <c r="AP29" s="46" t="s">
        <v>146</v>
      </c>
      <c r="AQ29" s="51"/>
      <c r="AR29" s="51"/>
      <c r="AS29" s="45"/>
      <c r="AT29" s="45"/>
      <c r="AU29" s="51"/>
      <c r="AV29" s="51"/>
      <c r="AW29" s="45"/>
      <c r="AX29" s="45"/>
      <c r="AY29" s="51"/>
      <c r="AZ29" s="51"/>
      <c r="BA29" s="50"/>
      <c r="BB29" s="50"/>
      <c r="BC29" s="51"/>
      <c r="BD29" s="51"/>
      <c r="BE29" s="45"/>
      <c r="BF29" s="45"/>
      <c r="BG29" s="51"/>
      <c r="BH29" s="45"/>
    </row>
    <row r="30" spans="2:60" ht="17.25" thickBot="1">
      <c r="B30" s="77"/>
      <c r="C30" s="81"/>
      <c r="D30" s="11" t="s">
        <v>10</v>
      </c>
      <c r="E30" s="12"/>
      <c r="F30" s="12"/>
      <c r="G30" s="12"/>
      <c r="H30" s="12"/>
      <c r="I30" s="12"/>
      <c r="J30" s="13"/>
      <c r="K30" s="13"/>
      <c r="L30" s="12"/>
      <c r="M30" s="12"/>
      <c r="N30" s="12"/>
      <c r="O30" s="12"/>
      <c r="P30" s="12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36" t="e">
        <f>AVERAGE(E30:AF30)</f>
        <v>#DIV/0!</v>
      </c>
      <c r="AJ30" s="125"/>
      <c r="AK30" s="125"/>
      <c r="AL30" s="126"/>
      <c r="AM30" s="125"/>
      <c r="AN30" s="125"/>
      <c r="AP30" s="46" t="s">
        <v>147</v>
      </c>
      <c r="AQ30" s="51"/>
      <c r="AR30" s="51"/>
      <c r="AS30" s="45"/>
      <c r="AT30" s="45"/>
      <c r="AU30" s="51"/>
      <c r="AV30" s="51"/>
      <c r="AW30" s="45"/>
      <c r="AX30" s="45"/>
      <c r="AY30" s="51"/>
      <c r="AZ30" s="51"/>
      <c r="BA30" s="50"/>
      <c r="BB30" s="50"/>
      <c r="BC30" s="51"/>
      <c r="BD30" s="51"/>
      <c r="BE30" s="45"/>
      <c r="BF30" s="45"/>
      <c r="BG30" s="51"/>
      <c r="BH30" s="45"/>
    </row>
    <row r="31" spans="2:60" ht="17.25" thickTop="1">
      <c r="B31" s="77"/>
      <c r="C31" s="80" t="s">
        <v>33</v>
      </c>
      <c r="D31" s="14" t="s">
        <v>6</v>
      </c>
      <c r="E31" s="22"/>
      <c r="F31" s="22"/>
      <c r="G31" s="22"/>
      <c r="H31" s="22"/>
      <c r="I31" s="22"/>
      <c r="J31" s="23"/>
      <c r="K31" s="23"/>
      <c r="L31" s="22"/>
      <c r="M31" s="22"/>
      <c r="N31" s="22"/>
      <c r="O31" s="22"/>
      <c r="P31" s="22"/>
      <c r="Q31" s="23"/>
      <c r="R31" s="23"/>
      <c r="S31" s="23"/>
      <c r="T31" s="23"/>
      <c r="U31" s="16"/>
      <c r="V31" s="16"/>
      <c r="W31" s="16"/>
      <c r="X31" s="16"/>
      <c r="Y31" s="23"/>
      <c r="Z31" s="23"/>
      <c r="AA31" s="23"/>
      <c r="AB31" s="23"/>
      <c r="AC31" s="23"/>
      <c r="AD31" s="23"/>
      <c r="AE31" s="23"/>
      <c r="AF31" s="23"/>
      <c r="AG31" s="38" t="e">
        <f>AVERAGE(E31:AF31)</f>
        <v>#DIV/0!</v>
      </c>
      <c r="AJ31" s="125"/>
      <c r="AK31" s="125"/>
      <c r="AL31" s="126"/>
      <c r="AM31" s="125"/>
      <c r="AN31" s="125"/>
      <c r="AP31" s="46" t="s">
        <v>148</v>
      </c>
      <c r="AQ31" s="51"/>
      <c r="AR31" s="51"/>
      <c r="AS31" s="45"/>
      <c r="AT31" s="45"/>
      <c r="AU31" s="51"/>
      <c r="AV31" s="51"/>
      <c r="AW31" s="45"/>
      <c r="AX31" s="45"/>
      <c r="AY31" s="51"/>
      <c r="AZ31" s="51"/>
      <c r="BA31" s="50"/>
      <c r="BB31" s="50"/>
      <c r="BC31" s="51"/>
      <c r="BD31" s="51"/>
      <c r="BE31" s="45"/>
      <c r="BF31" s="45"/>
      <c r="BG31" s="51"/>
      <c r="BH31" s="45"/>
    </row>
    <row r="32" spans="2:60">
      <c r="B32" s="77"/>
      <c r="C32" s="80"/>
      <c r="D32" s="9" t="s">
        <v>8</v>
      </c>
      <c r="E32" s="10"/>
      <c r="F32" s="10"/>
      <c r="G32" s="10"/>
      <c r="H32" s="10"/>
      <c r="I32" s="10"/>
      <c r="J32" s="61"/>
      <c r="K32" s="61"/>
      <c r="L32" s="10"/>
      <c r="M32" s="10"/>
      <c r="N32" s="10"/>
      <c r="O32" s="10"/>
      <c r="P32" s="10"/>
      <c r="Q32" s="61"/>
      <c r="R32" s="61"/>
      <c r="S32" s="61"/>
      <c r="T32" s="61"/>
      <c r="U32" s="61"/>
      <c r="V32" s="61"/>
      <c r="W32" s="61"/>
      <c r="X32" s="61"/>
      <c r="Y32" s="61"/>
      <c r="Z32" s="61"/>
      <c r="AA32" s="61"/>
      <c r="AB32" s="61"/>
      <c r="AC32" s="61"/>
      <c r="AD32" s="61"/>
      <c r="AE32" s="61"/>
      <c r="AF32" s="61"/>
      <c r="AG32" s="38" t="e">
        <f>AVERAGE(E32:AF32)</f>
        <v>#DIV/0!</v>
      </c>
      <c r="AJ32" s="125"/>
      <c r="AK32" s="125"/>
      <c r="AL32" s="126"/>
      <c r="AM32" s="125"/>
      <c r="AN32" s="125"/>
      <c r="AP32" s="46" t="s">
        <v>149</v>
      </c>
      <c r="AQ32" s="51"/>
      <c r="AR32" s="51"/>
      <c r="AS32" s="45"/>
      <c r="AT32" s="45"/>
      <c r="AU32" s="51"/>
      <c r="AV32" s="51"/>
      <c r="AW32" s="45"/>
      <c r="AX32" s="45"/>
      <c r="AY32" s="51"/>
      <c r="AZ32" s="51"/>
      <c r="BA32" s="50"/>
      <c r="BB32" s="50"/>
      <c r="BC32" s="51"/>
      <c r="BD32" s="51"/>
      <c r="BE32" s="45"/>
      <c r="BF32" s="45"/>
      <c r="BG32" s="51"/>
      <c r="BH32" s="45"/>
    </row>
    <row r="33" spans="1:60" ht="17.25" thickBot="1">
      <c r="B33" s="78"/>
      <c r="C33" s="86"/>
      <c r="D33" s="17" t="s">
        <v>10</v>
      </c>
      <c r="E33" s="18"/>
      <c r="F33" s="18"/>
      <c r="G33" s="18"/>
      <c r="H33" s="18"/>
      <c r="I33" s="18"/>
      <c r="J33" s="19"/>
      <c r="K33" s="19"/>
      <c r="L33" s="18"/>
      <c r="M33" s="18"/>
      <c r="N33" s="18"/>
      <c r="O33" s="18"/>
      <c r="P33" s="18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35" t="e">
        <f>AVERAGE(E33:AF33)</f>
        <v>#DIV/0!</v>
      </c>
      <c r="AJ33" s="125"/>
      <c r="AK33" s="125"/>
      <c r="AL33" s="126"/>
      <c r="AM33" s="125"/>
      <c r="AN33" s="125"/>
      <c r="AP33" s="46" t="s">
        <v>150</v>
      </c>
      <c r="AQ33" s="51"/>
      <c r="AR33" s="51"/>
      <c r="AS33" s="45"/>
      <c r="AT33" s="45"/>
      <c r="AU33" s="51"/>
      <c r="AV33" s="51"/>
      <c r="AW33" s="45"/>
      <c r="AX33" s="45"/>
      <c r="AY33" s="51"/>
      <c r="AZ33" s="51"/>
      <c r="BA33" s="50"/>
      <c r="BB33" s="50"/>
      <c r="BC33" s="51"/>
      <c r="BD33" s="51"/>
      <c r="BE33" s="45"/>
      <c r="BF33" s="45"/>
      <c r="BG33" s="51"/>
      <c r="BH33" s="45"/>
    </row>
    <row r="34" spans="1:60">
      <c r="B34" s="94"/>
      <c r="C34" s="24" t="s">
        <v>18</v>
      </c>
      <c r="D34" s="25" t="s">
        <v>19</v>
      </c>
      <c r="E34" s="26"/>
      <c r="F34" s="26"/>
      <c r="G34" s="26"/>
      <c r="H34" s="26"/>
      <c r="I34" s="26"/>
      <c r="J34" s="26"/>
      <c r="K34" s="27"/>
      <c r="L34" s="97"/>
      <c r="M34" s="98"/>
      <c r="N34" s="99" t="s">
        <v>20</v>
      </c>
      <c r="O34" s="99"/>
      <c r="P34" s="99" t="s">
        <v>21</v>
      </c>
      <c r="Q34" s="99"/>
      <c r="R34" s="99" t="s">
        <v>22</v>
      </c>
      <c r="S34" s="99"/>
      <c r="T34" s="99" t="s">
        <v>23</v>
      </c>
      <c r="U34" s="99"/>
      <c r="V34" s="99" t="s">
        <v>24</v>
      </c>
      <c r="W34" s="103"/>
      <c r="X34" s="104"/>
      <c r="Y34" s="105"/>
      <c r="Z34" s="105"/>
      <c r="AA34" s="105"/>
      <c r="AB34" s="105"/>
      <c r="AC34" s="105"/>
      <c r="AD34" s="105"/>
      <c r="AE34" s="105"/>
      <c r="AF34" s="105"/>
      <c r="AG34" s="106"/>
      <c r="AJ34" s="125"/>
      <c r="AK34" s="125"/>
      <c r="AL34" s="126"/>
      <c r="AM34" s="125"/>
      <c r="AN34" s="125"/>
      <c r="AP34" s="44" t="s">
        <v>41</v>
      </c>
      <c r="AQ34" s="44">
        <f>SUM(AQ6:AQ33)</f>
        <v>0</v>
      </c>
      <c r="AR34" s="44">
        <f>SUM(AR6:AR33)</f>
        <v>0</v>
      </c>
      <c r="AS34" s="52">
        <f>SUM(AS6:AS33)</f>
        <v>0</v>
      </c>
      <c r="AT34" s="52">
        <f>SUM(AT6:AT33)</f>
        <v>0</v>
      </c>
      <c r="AU34" s="44">
        <f>SUM(AU6:AU33)</f>
        <v>0</v>
      </c>
      <c r="AV34" s="44">
        <f>SUM(AV6:AV33)</f>
        <v>0</v>
      </c>
      <c r="AW34" s="52">
        <f>SUM(AW6:AW33)</f>
        <v>0</v>
      </c>
      <c r="AX34" s="52">
        <f>SUM(AX6:AX33)</f>
        <v>0</v>
      </c>
      <c r="AY34" s="44">
        <f>SUM(AY6:AY33)</f>
        <v>0</v>
      </c>
      <c r="AZ34" s="44">
        <f>SUM(AZ6:AZ33)</f>
        <v>0</v>
      </c>
      <c r="BA34" s="52">
        <f>SUM(BA6:BA33)</f>
        <v>0</v>
      </c>
      <c r="BB34" s="52">
        <f>SUM(BB6:BB33)</f>
        <v>0</v>
      </c>
      <c r="BC34" s="44">
        <f>SUM(BC6:BC33)</f>
        <v>0</v>
      </c>
      <c r="BD34" s="44">
        <f>SUM(BD6:BD33)</f>
        <v>0</v>
      </c>
      <c r="BE34" s="52">
        <f>SUM(BE6:BE33)</f>
        <v>0</v>
      </c>
      <c r="BF34" s="52">
        <f>SUM(BF6:BF33)</f>
        <v>0</v>
      </c>
      <c r="BG34" s="44">
        <f>SUM(BG6:BG33)</f>
        <v>0</v>
      </c>
      <c r="BH34" s="52">
        <f>SUM(BH6:BH33)</f>
        <v>0</v>
      </c>
    </row>
    <row r="35" spans="1:60">
      <c r="B35" s="95"/>
      <c r="C35" s="28"/>
      <c r="D35" s="29" t="s">
        <v>25</v>
      </c>
      <c r="E35" s="28"/>
      <c r="F35" s="28"/>
      <c r="G35" s="28"/>
      <c r="H35" s="28"/>
      <c r="I35" s="28"/>
      <c r="J35" s="28"/>
      <c r="K35" s="29"/>
      <c r="L35" s="113" t="s">
        <v>26</v>
      </c>
      <c r="M35" s="114"/>
      <c r="N35" s="115">
        <v>20</v>
      </c>
      <c r="O35" s="116"/>
      <c r="P35" s="115">
        <v>70</v>
      </c>
      <c r="Q35" s="116"/>
      <c r="R35" s="115">
        <v>60</v>
      </c>
      <c r="S35" s="116"/>
      <c r="T35" s="115">
        <v>30</v>
      </c>
      <c r="U35" s="116"/>
      <c r="V35" s="115">
        <v>10</v>
      </c>
      <c r="W35" s="117"/>
      <c r="X35" s="107"/>
      <c r="Y35" s="108"/>
      <c r="Z35" s="108"/>
      <c r="AA35" s="108"/>
      <c r="AB35" s="108"/>
      <c r="AC35" s="108"/>
      <c r="AD35" s="108"/>
      <c r="AE35" s="108"/>
      <c r="AF35" s="108"/>
      <c r="AG35" s="109"/>
      <c r="AJ35" s="125"/>
      <c r="AK35" s="125"/>
      <c r="AL35" s="126"/>
      <c r="AM35" s="125"/>
      <c r="AN35" s="125"/>
    </row>
    <row r="36" spans="1:60" ht="17.25" thickBot="1">
      <c r="B36" s="96"/>
      <c r="C36" s="30"/>
      <c r="D36" s="31" t="s">
        <v>28</v>
      </c>
      <c r="E36" s="30"/>
      <c r="F36" s="30"/>
      <c r="G36" s="30"/>
      <c r="H36" s="30"/>
      <c r="I36" s="30"/>
      <c r="J36" s="30"/>
      <c r="K36" s="31"/>
      <c r="L36" s="118" t="s">
        <v>27</v>
      </c>
      <c r="M36" s="119"/>
      <c r="N36" s="100">
        <v>80</v>
      </c>
      <c r="O36" s="101"/>
      <c r="P36" s="100">
        <v>180</v>
      </c>
      <c r="Q36" s="101"/>
      <c r="R36" s="100">
        <v>120</v>
      </c>
      <c r="S36" s="101"/>
      <c r="T36" s="100">
        <v>40</v>
      </c>
      <c r="U36" s="101"/>
      <c r="V36" s="100">
        <v>10</v>
      </c>
      <c r="W36" s="102"/>
      <c r="X36" s="110"/>
      <c r="Y36" s="111"/>
      <c r="Z36" s="111"/>
      <c r="AA36" s="111"/>
      <c r="AB36" s="111"/>
      <c r="AC36" s="111"/>
      <c r="AD36" s="111"/>
      <c r="AE36" s="111"/>
      <c r="AF36" s="111"/>
      <c r="AG36" s="112"/>
      <c r="AJ36" s="125"/>
      <c r="AK36" s="125"/>
      <c r="AL36" s="126"/>
      <c r="AM36" s="125"/>
      <c r="AN36" s="125"/>
    </row>
    <row r="37" spans="1:60">
      <c r="M37" s="4"/>
      <c r="N37" s="4"/>
      <c r="AJ37" s="125"/>
      <c r="AK37" s="125"/>
      <c r="AL37" s="126"/>
      <c r="AM37" s="125"/>
      <c r="AN37" s="125"/>
    </row>
    <row r="38" spans="1:60">
      <c r="A38" s="32"/>
      <c r="AJ38" s="125"/>
      <c r="AK38" s="125"/>
      <c r="AL38" s="126"/>
      <c r="AM38" s="125"/>
      <c r="AN38" s="125"/>
    </row>
    <row r="39" spans="1:60">
      <c r="B39" s="33"/>
      <c r="AJ39" s="125"/>
      <c r="AK39" s="125"/>
      <c r="AL39" s="126"/>
      <c r="AM39" s="125"/>
      <c r="AN39" s="125"/>
    </row>
    <row r="40" spans="1:60">
      <c r="B40" s="33"/>
      <c r="AJ40" s="125"/>
      <c r="AK40" s="125"/>
      <c r="AL40" s="126"/>
      <c r="AM40" s="125"/>
      <c r="AN40" s="125"/>
    </row>
    <row r="41" spans="1:60">
      <c r="B41" s="33"/>
      <c r="AJ41" s="125"/>
      <c r="AK41" s="125"/>
      <c r="AL41" s="125"/>
      <c r="AM41" s="125"/>
      <c r="AN41" s="127"/>
    </row>
    <row r="42" spans="1:60">
      <c r="A42" s="32"/>
      <c r="B42" s="33"/>
      <c r="AJ42" s="125"/>
      <c r="AK42" s="125"/>
      <c r="AL42" s="127"/>
      <c r="AM42" s="125"/>
      <c r="AN42" s="125"/>
    </row>
    <row r="43" spans="1:60">
      <c r="A43" s="32"/>
      <c r="B43" s="34"/>
      <c r="AJ43" s="125"/>
      <c r="AK43" s="125"/>
      <c r="AL43" s="123"/>
      <c r="AM43" s="125"/>
      <c r="AN43" s="125"/>
    </row>
    <row r="44" spans="1:60" ht="16.5" customHeight="1">
      <c r="A44" s="32"/>
      <c r="B44" s="34"/>
      <c r="D44" s="34"/>
      <c r="E44" s="34"/>
      <c r="F44" s="34"/>
      <c r="G44" s="34"/>
      <c r="H44" s="34"/>
      <c r="AJ44" s="125"/>
      <c r="AK44" s="125"/>
      <c r="AL44" s="125"/>
      <c r="AM44" s="125"/>
      <c r="AN44" s="125"/>
    </row>
    <row r="45" spans="1:60">
      <c r="A45" s="32"/>
      <c r="B45" s="34"/>
      <c r="D45" s="34"/>
      <c r="E45" s="34"/>
      <c r="F45" s="34"/>
      <c r="G45" s="34"/>
      <c r="H45" s="34"/>
      <c r="AJ45" s="125"/>
      <c r="AK45" s="125"/>
      <c r="AL45" s="123"/>
      <c r="AM45" s="125"/>
      <c r="AN45" s="125"/>
    </row>
    <row r="46" spans="1:60">
      <c r="A46" s="32"/>
      <c r="B46" s="34"/>
      <c r="D46" s="34"/>
      <c r="E46" s="34"/>
      <c r="F46" s="34"/>
      <c r="G46" s="34"/>
      <c r="H46" s="34"/>
      <c r="AJ46" s="125"/>
      <c r="AK46" s="125"/>
      <c r="AL46" s="123"/>
      <c r="AM46" s="125"/>
      <c r="AN46" s="125"/>
    </row>
    <row r="47" spans="1:60">
      <c r="A47" s="32"/>
      <c r="B47" s="34"/>
      <c r="D47" s="34"/>
      <c r="E47" s="34"/>
      <c r="F47" s="34"/>
      <c r="G47" s="34"/>
      <c r="H47" s="34"/>
      <c r="AJ47" s="125"/>
      <c r="AK47" s="125"/>
      <c r="AL47" s="123"/>
      <c r="AM47" s="125"/>
      <c r="AN47" s="125"/>
    </row>
    <row r="48" spans="1:60">
      <c r="A48" s="32"/>
      <c r="B48" s="34"/>
      <c r="D48" s="34"/>
      <c r="E48" s="34"/>
      <c r="F48" s="34"/>
      <c r="G48" s="34"/>
      <c r="H48" s="34"/>
      <c r="AJ48" s="125"/>
      <c r="AK48" s="125"/>
      <c r="AL48" s="124"/>
      <c r="AM48" s="125"/>
      <c r="AN48" s="125"/>
    </row>
    <row r="49" spans="1:40">
      <c r="A49" s="32"/>
      <c r="AJ49" s="125"/>
      <c r="AK49" s="125"/>
      <c r="AL49" s="124"/>
      <c r="AM49" s="125"/>
      <c r="AN49" s="125"/>
    </row>
    <row r="50" spans="1:40">
      <c r="A50" s="32"/>
      <c r="D50" s="34"/>
      <c r="AJ50" s="125"/>
      <c r="AK50" s="125"/>
      <c r="AL50" s="124"/>
      <c r="AM50" s="125"/>
      <c r="AN50" s="125"/>
    </row>
    <row r="51" spans="1:40">
      <c r="A51" s="32"/>
      <c r="D51" s="34"/>
      <c r="AJ51" s="125"/>
      <c r="AK51" s="125"/>
      <c r="AL51" s="124"/>
      <c r="AM51" s="125"/>
      <c r="AN51" s="125"/>
    </row>
    <row r="52" spans="1:40">
      <c r="A52" s="32"/>
      <c r="D52" s="34"/>
      <c r="AJ52" s="125"/>
      <c r="AK52" s="125"/>
      <c r="AL52" s="124"/>
      <c r="AM52" s="125"/>
      <c r="AN52" s="125"/>
    </row>
    <row r="53" spans="1:40">
      <c r="A53" s="32"/>
      <c r="D53" s="34"/>
      <c r="AJ53" s="125"/>
      <c r="AK53" s="125"/>
      <c r="AL53" s="124"/>
      <c r="AM53" s="125"/>
      <c r="AN53" s="125"/>
    </row>
    <row r="54" spans="1:40">
      <c r="A54" s="32"/>
      <c r="D54" s="34"/>
      <c r="AJ54" s="125"/>
      <c r="AK54" s="125"/>
      <c r="AL54" s="128"/>
      <c r="AM54" s="125"/>
      <c r="AN54" s="125"/>
    </row>
    <row r="55" spans="1:40">
      <c r="A55" s="32"/>
      <c r="D55" s="34"/>
      <c r="AJ55" s="125"/>
      <c r="AK55" s="125"/>
      <c r="AL55" s="128"/>
      <c r="AM55" s="125"/>
      <c r="AN55" s="125"/>
    </row>
    <row r="56" spans="1:40">
      <c r="A56" s="32"/>
      <c r="D56" s="34"/>
      <c r="AJ56" s="125"/>
      <c r="AK56" s="125"/>
      <c r="AL56" s="128"/>
      <c r="AM56" s="125"/>
      <c r="AN56" s="125"/>
    </row>
    <row r="57" spans="1:40">
      <c r="A57" s="32"/>
      <c r="D57" s="34"/>
      <c r="AJ57" s="125"/>
      <c r="AK57" s="125"/>
      <c r="AL57" s="128"/>
      <c r="AM57" s="125"/>
      <c r="AN57" s="125"/>
    </row>
    <row r="58" spans="1:40">
      <c r="A58" s="32"/>
      <c r="D58" s="34"/>
      <c r="AJ58" s="125"/>
      <c r="AK58" s="125"/>
      <c r="AL58" s="124"/>
      <c r="AM58" s="125"/>
      <c r="AN58" s="125"/>
    </row>
    <row r="59" spans="1:40">
      <c r="A59" s="32"/>
      <c r="D59" s="34"/>
      <c r="AJ59" s="125"/>
      <c r="AK59" s="125"/>
      <c r="AL59" s="124"/>
      <c r="AM59" s="125"/>
      <c r="AN59" s="125"/>
    </row>
    <row r="60" spans="1:40">
      <c r="A60" s="32"/>
      <c r="D60" s="34"/>
      <c r="AJ60" s="125"/>
      <c r="AK60" s="125"/>
      <c r="AL60" s="124"/>
      <c r="AM60" s="125"/>
      <c r="AN60" s="125"/>
    </row>
    <row r="61" spans="1:40">
      <c r="A61" s="32"/>
      <c r="D61" s="34"/>
      <c r="AJ61" s="125"/>
      <c r="AK61" s="125"/>
      <c r="AL61" s="124"/>
      <c r="AM61" s="125"/>
      <c r="AN61" s="125"/>
    </row>
    <row r="62" spans="1:40">
      <c r="D62" s="34"/>
      <c r="AJ62" s="125"/>
      <c r="AK62" s="125"/>
      <c r="AL62" s="124"/>
      <c r="AM62" s="125"/>
      <c r="AN62" s="125"/>
    </row>
    <row r="63" spans="1:40">
      <c r="D63" s="34"/>
      <c r="AJ63" s="125"/>
      <c r="AK63" s="123"/>
      <c r="AL63" s="124"/>
      <c r="AM63" s="123"/>
      <c r="AN63" s="123"/>
    </row>
    <row r="64" spans="1:40">
      <c r="A64" s="32"/>
      <c r="D64" s="34"/>
      <c r="AJ64" s="125"/>
      <c r="AK64" s="125"/>
      <c r="AL64" s="124"/>
      <c r="AM64" s="125"/>
      <c r="AN64" s="125"/>
    </row>
    <row r="65" spans="1:40">
      <c r="A65" s="32"/>
      <c r="D65" s="34"/>
      <c r="AJ65" s="125"/>
      <c r="AK65" s="125"/>
      <c r="AL65" s="124"/>
      <c r="AM65" s="125"/>
      <c r="AN65" s="125"/>
    </row>
    <row r="66" spans="1:40">
      <c r="A66" s="32"/>
      <c r="AJ66" s="125"/>
      <c r="AK66" s="125"/>
      <c r="AL66" s="124"/>
      <c r="AM66" s="125"/>
      <c r="AN66" s="125"/>
    </row>
    <row r="67" spans="1:40">
      <c r="A67" s="32"/>
      <c r="AJ67" s="125"/>
      <c r="AK67" s="125"/>
      <c r="AL67" s="124"/>
      <c r="AM67" s="125"/>
      <c r="AN67" s="125"/>
    </row>
    <row r="68" spans="1:40">
      <c r="A68" s="32"/>
      <c r="AJ68" s="125"/>
      <c r="AK68" s="125"/>
      <c r="AL68" s="124"/>
      <c r="AM68" s="125"/>
      <c r="AN68" s="125"/>
    </row>
    <row r="69" spans="1:40">
      <c r="A69" s="32"/>
      <c r="AJ69" s="125"/>
      <c r="AK69" s="125"/>
      <c r="AL69" s="124"/>
      <c r="AM69" s="125"/>
      <c r="AN69" s="125"/>
    </row>
    <row r="70" spans="1:40">
      <c r="A70" s="32"/>
      <c r="AJ70" s="125"/>
      <c r="AK70" s="125"/>
      <c r="AL70" s="124"/>
      <c r="AM70" s="125"/>
      <c r="AN70" s="125"/>
    </row>
    <row r="71" spans="1:40">
      <c r="A71" s="32"/>
      <c r="AJ71" s="125"/>
      <c r="AK71" s="125"/>
      <c r="AL71" s="124"/>
      <c r="AM71" s="125"/>
      <c r="AN71" s="125"/>
    </row>
    <row r="72" spans="1:40">
      <c r="A72" s="32"/>
      <c r="AJ72" s="125"/>
      <c r="AK72" s="125"/>
      <c r="AL72" s="124"/>
      <c r="AM72" s="125"/>
      <c r="AN72" s="125"/>
    </row>
    <row r="73" spans="1:40">
      <c r="A73" s="32"/>
      <c r="AJ73" s="125"/>
      <c r="AK73" s="125"/>
      <c r="AL73" s="124"/>
      <c r="AM73" s="125"/>
      <c r="AN73" s="125"/>
    </row>
    <row r="74" spans="1:40">
      <c r="AJ74" s="125"/>
      <c r="AK74" s="125"/>
      <c r="AL74" s="124"/>
      <c r="AM74" s="125"/>
      <c r="AN74" s="125"/>
    </row>
    <row r="75" spans="1:40">
      <c r="AJ75" s="125"/>
      <c r="AK75" s="125"/>
      <c r="AL75" s="124"/>
      <c r="AM75" s="125"/>
      <c r="AN75" s="125"/>
    </row>
    <row r="76" spans="1:40">
      <c r="AJ76" s="125"/>
      <c r="AK76" s="125"/>
      <c r="AL76" s="124"/>
      <c r="AM76" s="125"/>
      <c r="AN76" s="125"/>
    </row>
    <row r="77" spans="1:40">
      <c r="AJ77" s="125"/>
      <c r="AK77" s="125"/>
      <c r="AL77" s="124"/>
      <c r="AM77" s="125"/>
      <c r="AN77" s="125"/>
    </row>
    <row r="78" spans="1:40">
      <c r="AJ78" s="125"/>
      <c r="AK78" s="125"/>
      <c r="AL78" s="124"/>
      <c r="AM78" s="125"/>
      <c r="AN78" s="125"/>
    </row>
    <row r="79" spans="1:40">
      <c r="AJ79" s="125"/>
      <c r="AK79" s="125"/>
      <c r="AL79" s="124"/>
      <c r="AM79" s="125"/>
      <c r="AN79" s="125"/>
    </row>
    <row r="80" spans="1:40">
      <c r="AJ80" s="125"/>
      <c r="AK80" s="125"/>
      <c r="AL80" s="124"/>
      <c r="AM80" s="125"/>
      <c r="AN80" s="125"/>
    </row>
    <row r="81" spans="36:40">
      <c r="AJ81" s="125"/>
      <c r="AK81" s="125"/>
      <c r="AL81" s="124"/>
      <c r="AM81" s="125"/>
      <c r="AN81" s="125"/>
    </row>
    <row r="82" spans="36:40">
      <c r="AJ82" s="125"/>
      <c r="AK82" s="125"/>
      <c r="AL82" s="124"/>
      <c r="AM82" s="125"/>
      <c r="AN82" s="125"/>
    </row>
    <row r="83" spans="36:40">
      <c r="AJ83" s="125"/>
      <c r="AK83" s="125"/>
      <c r="AL83" s="124"/>
      <c r="AM83" s="125"/>
      <c r="AN83" s="125"/>
    </row>
    <row r="84" spans="36:40">
      <c r="AJ84" s="125"/>
      <c r="AK84" s="125"/>
      <c r="AL84" s="124"/>
      <c r="AM84" s="125"/>
      <c r="AN84" s="125"/>
    </row>
    <row r="85" spans="36:40">
      <c r="AJ85" s="125"/>
      <c r="AK85" s="125"/>
      <c r="AL85" s="124"/>
      <c r="AM85" s="125"/>
      <c r="AN85" s="125"/>
    </row>
    <row r="86" spans="36:40">
      <c r="AJ86" s="125"/>
      <c r="AK86" s="125"/>
      <c r="AL86" s="128"/>
      <c r="AM86" s="125"/>
      <c r="AN86" s="125"/>
    </row>
    <row r="87" spans="36:40">
      <c r="AJ87" s="125"/>
      <c r="AK87" s="125"/>
      <c r="AL87" s="128"/>
      <c r="AM87" s="125"/>
      <c r="AN87" s="125"/>
    </row>
    <row r="88" spans="36:40">
      <c r="AJ88" s="125"/>
      <c r="AK88" s="125"/>
      <c r="AL88" s="128"/>
      <c r="AM88" s="125"/>
      <c r="AN88" s="125"/>
    </row>
    <row r="107" spans="4:32">
      <c r="D107" s="3" t="s">
        <v>4</v>
      </c>
      <c r="M107" s="4"/>
      <c r="N107" s="4"/>
    </row>
    <row r="108" spans="4:32">
      <c r="D108" s="8" t="s">
        <v>7</v>
      </c>
      <c r="E108" s="8">
        <v>20</v>
      </c>
      <c r="F108" s="8">
        <v>20</v>
      </c>
      <c r="G108" s="8">
        <v>20</v>
      </c>
      <c r="H108" s="8">
        <v>20</v>
      </c>
      <c r="I108" s="8">
        <v>20</v>
      </c>
      <c r="J108" s="8">
        <v>20</v>
      </c>
      <c r="K108" s="8">
        <v>20</v>
      </c>
      <c r="L108" s="8">
        <v>20</v>
      </c>
      <c r="M108" s="8">
        <v>20</v>
      </c>
      <c r="N108" s="8">
        <v>20</v>
      </c>
      <c r="O108" s="8">
        <v>20</v>
      </c>
      <c r="P108" s="8">
        <v>20</v>
      </c>
      <c r="Q108" s="8">
        <v>20</v>
      </c>
      <c r="R108" s="8">
        <v>20</v>
      </c>
      <c r="S108" s="8">
        <v>20</v>
      </c>
      <c r="T108" s="8">
        <v>20</v>
      </c>
      <c r="U108" s="8">
        <v>20</v>
      </c>
      <c r="V108" s="8">
        <v>20</v>
      </c>
      <c r="W108" s="8">
        <v>20</v>
      </c>
      <c r="X108" s="8">
        <v>20</v>
      </c>
      <c r="Y108" s="8">
        <v>20</v>
      </c>
      <c r="Z108" s="8">
        <v>20</v>
      </c>
      <c r="AA108" s="8">
        <v>20</v>
      </c>
      <c r="AB108" s="8">
        <v>20</v>
      </c>
      <c r="AC108" s="8">
        <v>20</v>
      </c>
      <c r="AD108" s="8">
        <v>20</v>
      </c>
      <c r="AE108" s="8">
        <v>20</v>
      </c>
      <c r="AF108" s="8">
        <v>20</v>
      </c>
    </row>
    <row r="109" spans="4:32">
      <c r="D109" s="8" t="s">
        <v>9</v>
      </c>
      <c r="E109" s="8">
        <v>70</v>
      </c>
      <c r="F109" s="8">
        <v>70</v>
      </c>
      <c r="G109" s="8">
        <v>70</v>
      </c>
      <c r="H109" s="8">
        <v>70</v>
      </c>
      <c r="I109" s="8">
        <v>70</v>
      </c>
      <c r="J109" s="8">
        <v>70</v>
      </c>
      <c r="K109" s="8">
        <v>70</v>
      </c>
      <c r="L109" s="8">
        <v>70</v>
      </c>
      <c r="M109" s="8">
        <v>70</v>
      </c>
      <c r="N109" s="8">
        <v>70</v>
      </c>
      <c r="O109" s="8">
        <v>70</v>
      </c>
      <c r="P109" s="8">
        <v>70</v>
      </c>
      <c r="Q109" s="8">
        <v>70</v>
      </c>
      <c r="R109" s="8">
        <v>70</v>
      </c>
      <c r="S109" s="8">
        <v>70</v>
      </c>
      <c r="T109" s="8">
        <v>70</v>
      </c>
      <c r="U109" s="8">
        <v>70</v>
      </c>
      <c r="V109" s="8">
        <v>70</v>
      </c>
      <c r="W109" s="8">
        <v>70</v>
      </c>
      <c r="X109" s="8">
        <v>70</v>
      </c>
      <c r="Y109" s="8">
        <v>70</v>
      </c>
      <c r="Z109" s="8">
        <v>70</v>
      </c>
      <c r="AA109" s="8">
        <v>70</v>
      </c>
      <c r="AB109" s="8">
        <v>70</v>
      </c>
      <c r="AC109" s="8">
        <v>70</v>
      </c>
      <c r="AD109" s="8">
        <v>70</v>
      </c>
      <c r="AE109" s="8">
        <v>70</v>
      </c>
      <c r="AF109" s="8">
        <v>70</v>
      </c>
    </row>
    <row r="110" spans="4:32">
      <c r="D110" s="8" t="s">
        <v>11</v>
      </c>
      <c r="E110" s="8">
        <v>60</v>
      </c>
      <c r="F110" s="8">
        <v>60</v>
      </c>
      <c r="G110" s="8">
        <v>60</v>
      </c>
      <c r="H110" s="8">
        <v>60</v>
      </c>
      <c r="I110" s="8">
        <v>60</v>
      </c>
      <c r="J110" s="8">
        <v>60</v>
      </c>
      <c r="K110" s="8">
        <v>60</v>
      </c>
      <c r="L110" s="8">
        <v>60</v>
      </c>
      <c r="M110" s="8">
        <v>60</v>
      </c>
      <c r="N110" s="8">
        <v>60</v>
      </c>
      <c r="O110" s="8">
        <v>60</v>
      </c>
      <c r="P110" s="8">
        <v>60</v>
      </c>
      <c r="Q110" s="8">
        <v>60</v>
      </c>
      <c r="R110" s="8">
        <v>60</v>
      </c>
      <c r="S110" s="8">
        <v>60</v>
      </c>
      <c r="T110" s="8">
        <v>60</v>
      </c>
      <c r="U110" s="8">
        <v>60</v>
      </c>
      <c r="V110" s="8">
        <v>60</v>
      </c>
      <c r="W110" s="8">
        <v>60</v>
      </c>
      <c r="X110" s="8">
        <v>60</v>
      </c>
      <c r="Y110" s="8">
        <v>60</v>
      </c>
      <c r="Z110" s="8">
        <v>60</v>
      </c>
      <c r="AA110" s="8">
        <v>60</v>
      </c>
      <c r="AB110" s="8">
        <v>60</v>
      </c>
      <c r="AC110" s="8">
        <v>60</v>
      </c>
      <c r="AD110" s="8">
        <v>60</v>
      </c>
      <c r="AE110" s="8">
        <v>60</v>
      </c>
      <c r="AF110" s="8">
        <v>60</v>
      </c>
    </row>
    <row r="111" spans="4:32">
      <c r="D111" s="8" t="s">
        <v>12</v>
      </c>
      <c r="E111" s="8">
        <v>30</v>
      </c>
      <c r="F111" s="8">
        <v>30</v>
      </c>
      <c r="G111" s="8">
        <v>30</v>
      </c>
      <c r="H111" s="8">
        <v>30</v>
      </c>
      <c r="I111" s="8">
        <v>30</v>
      </c>
      <c r="J111" s="8">
        <v>30</v>
      </c>
      <c r="K111" s="8">
        <v>30</v>
      </c>
      <c r="L111" s="8">
        <v>30</v>
      </c>
      <c r="M111" s="8">
        <v>30</v>
      </c>
      <c r="N111" s="8">
        <v>30</v>
      </c>
      <c r="O111" s="8">
        <v>30</v>
      </c>
      <c r="P111" s="8">
        <v>30</v>
      </c>
      <c r="Q111" s="8">
        <v>30</v>
      </c>
      <c r="R111" s="8">
        <v>30</v>
      </c>
      <c r="S111" s="8">
        <v>30</v>
      </c>
      <c r="T111" s="8">
        <v>30</v>
      </c>
      <c r="U111" s="8">
        <v>30</v>
      </c>
      <c r="V111" s="8">
        <v>30</v>
      </c>
      <c r="W111" s="8">
        <v>30</v>
      </c>
      <c r="X111" s="8">
        <v>30</v>
      </c>
      <c r="Y111" s="8">
        <v>30</v>
      </c>
      <c r="Z111" s="8">
        <v>30</v>
      </c>
      <c r="AA111" s="8">
        <v>30</v>
      </c>
      <c r="AB111" s="8">
        <v>30</v>
      </c>
      <c r="AC111" s="8">
        <v>30</v>
      </c>
      <c r="AD111" s="8">
        <v>30</v>
      </c>
      <c r="AE111" s="8">
        <v>30</v>
      </c>
      <c r="AF111" s="8">
        <v>30</v>
      </c>
    </row>
    <row r="112" spans="4:32">
      <c r="D112" s="8" t="s">
        <v>13</v>
      </c>
      <c r="E112" s="8">
        <v>10</v>
      </c>
      <c r="F112" s="8">
        <v>10</v>
      </c>
      <c r="G112" s="8">
        <v>10</v>
      </c>
      <c r="H112" s="8">
        <v>10</v>
      </c>
      <c r="I112" s="8">
        <v>10</v>
      </c>
      <c r="J112" s="8">
        <v>10</v>
      </c>
      <c r="K112" s="8">
        <v>10</v>
      </c>
      <c r="L112" s="8">
        <v>10</v>
      </c>
      <c r="M112" s="8">
        <v>10</v>
      </c>
      <c r="N112" s="8">
        <v>10</v>
      </c>
      <c r="O112" s="8">
        <v>10</v>
      </c>
      <c r="P112" s="8">
        <v>10</v>
      </c>
      <c r="Q112" s="8">
        <v>10</v>
      </c>
      <c r="R112" s="8">
        <v>10</v>
      </c>
      <c r="S112" s="8">
        <v>10</v>
      </c>
      <c r="T112" s="8">
        <v>10</v>
      </c>
      <c r="U112" s="8">
        <v>10</v>
      </c>
      <c r="V112" s="8">
        <v>10</v>
      </c>
      <c r="W112" s="8">
        <v>10</v>
      </c>
      <c r="X112" s="8">
        <v>10</v>
      </c>
      <c r="Y112" s="8">
        <v>10</v>
      </c>
      <c r="Z112" s="8">
        <v>10</v>
      </c>
      <c r="AA112" s="8">
        <v>10</v>
      </c>
      <c r="AB112" s="8">
        <v>10</v>
      </c>
      <c r="AC112" s="8">
        <v>10</v>
      </c>
      <c r="AD112" s="8">
        <v>10</v>
      </c>
      <c r="AE112" s="8">
        <v>10</v>
      </c>
      <c r="AF112" s="8">
        <v>10</v>
      </c>
    </row>
  </sheetData>
  <autoFilter ref="AJ3:AN3" xr:uid="{46FFA5AC-2ACD-4EDE-B5C9-2ADC3CD4E013}"/>
  <mergeCells count="55">
    <mergeCell ref="V36:W36"/>
    <mergeCell ref="V34:W34"/>
    <mergeCell ref="X34:AG36"/>
    <mergeCell ref="L35:M35"/>
    <mergeCell ref="N35:O35"/>
    <mergeCell ref="P35:Q35"/>
    <mergeCell ref="R35:S35"/>
    <mergeCell ref="T35:U35"/>
    <mergeCell ref="V35:W35"/>
    <mergeCell ref="L36:M36"/>
    <mergeCell ref="N36:O36"/>
    <mergeCell ref="B34:B36"/>
    <mergeCell ref="L34:M34"/>
    <mergeCell ref="N34:O34"/>
    <mergeCell ref="P34:Q34"/>
    <mergeCell ref="R34:S34"/>
    <mergeCell ref="T34:U34"/>
    <mergeCell ref="P36:Q36"/>
    <mergeCell ref="R36:S36"/>
    <mergeCell ref="T36:U36"/>
    <mergeCell ref="B22:B27"/>
    <mergeCell ref="C22:C24"/>
    <mergeCell ref="C25:C27"/>
    <mergeCell ref="B28:B33"/>
    <mergeCell ref="C28:C30"/>
    <mergeCell ref="C31:C33"/>
    <mergeCell ref="B10:B15"/>
    <mergeCell ref="C10:C12"/>
    <mergeCell ref="C13:C15"/>
    <mergeCell ref="B16:B21"/>
    <mergeCell ref="C16:C18"/>
    <mergeCell ref="C19:C21"/>
    <mergeCell ref="BC3:BD3"/>
    <mergeCell ref="BE3:BF3"/>
    <mergeCell ref="B4:B9"/>
    <mergeCell ref="C4:C6"/>
    <mergeCell ref="AP4:AP5"/>
    <mergeCell ref="BG4:BH4"/>
    <mergeCell ref="C7:C9"/>
    <mergeCell ref="AQ3:AR3"/>
    <mergeCell ref="AS3:AT3"/>
    <mergeCell ref="AU3:AV3"/>
    <mergeCell ref="AW3:AX3"/>
    <mergeCell ref="AY3:AZ3"/>
    <mergeCell ref="BA3:BB3"/>
    <mergeCell ref="AP1:BH1"/>
    <mergeCell ref="B2:B3"/>
    <mergeCell ref="C2:C3"/>
    <mergeCell ref="D2:D3"/>
    <mergeCell ref="AG2:AG3"/>
    <mergeCell ref="AQ2:AT2"/>
    <mergeCell ref="AU2:AX2"/>
    <mergeCell ref="AY2:BB2"/>
    <mergeCell ref="BC2:BF2"/>
    <mergeCell ref="BG2:BH2"/>
  </mergeCells>
  <phoneticPr fontId="1" type="noConversion"/>
  <conditionalFormatting sqref="E4:AG9">
    <cfRule type="cellIs" dxfId="17" priority="3" operator="greaterThan">
      <formula>20</formula>
    </cfRule>
  </conditionalFormatting>
  <conditionalFormatting sqref="E10:AG15">
    <cfRule type="cellIs" dxfId="16" priority="1" operator="greaterThan">
      <formula>70</formula>
    </cfRule>
  </conditionalFormatting>
  <conditionalFormatting sqref="E16:AG21">
    <cfRule type="cellIs" dxfId="15" priority="2" operator="greaterThan">
      <formula>60</formula>
    </cfRule>
  </conditionalFormatting>
  <conditionalFormatting sqref="E22:AG27">
    <cfRule type="cellIs" dxfId="14" priority="4" operator="greaterThan">
      <formula>30</formula>
    </cfRule>
  </conditionalFormatting>
  <conditionalFormatting sqref="E28:AG33">
    <cfRule type="cellIs" dxfId="13" priority="5" operator="greaterThan">
      <formula>10</formula>
    </cfRule>
  </conditionalFormatting>
  <conditionalFormatting sqref="AQ6:AY33 BA6:BA33 BC6:BF33">
    <cfRule type="cellIs" dxfId="12" priority="6" operator="greaterThanOrEqual">
      <formula>3</formula>
    </cfRule>
  </conditionalFormatting>
  <conditionalFormatting sqref="AQ6:BH33">
    <cfRule type="cellIs" dxfId="11" priority="7" operator="equal">
      <formula>0</formula>
    </cfRule>
  </conditionalFormatting>
  <conditionalFormatting sqref="AZ6:AZ33 BB6:BB33">
    <cfRule type="cellIs" dxfId="10" priority="8" operator="greaterThanOrEqual">
      <formula>1</formula>
    </cfRule>
  </conditionalFormatting>
  <conditionalFormatting sqref="BG6:BH33">
    <cfRule type="cellIs" dxfId="9" priority="9" operator="greaterThan">
      <formula>40</formula>
    </cfRule>
  </conditionalFormatting>
  <pageMargins left="0.7" right="0.7" top="0.75" bottom="0.75" header="0.3" footer="0.3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3A14F-0AED-40DB-86BF-54BEF0D85515}">
  <sheetPr codeName="工作表1">
    <tabColor theme="9"/>
  </sheetPr>
  <dimension ref="A1:BK112"/>
  <sheetViews>
    <sheetView topLeftCell="V1" zoomScale="85" zoomScaleNormal="85" workbookViewId="0">
      <pane ySplit="3" topLeftCell="A61" activePane="bottomLeft" state="frozen"/>
      <selection pane="bottomLeft" activeCell="AM88" sqref="AM88:AQ88"/>
    </sheetView>
  </sheetViews>
  <sheetFormatPr defaultRowHeight="16.5"/>
  <cols>
    <col min="1" max="1" width="2.75" customWidth="1"/>
    <col min="2" max="2" width="7.5" customWidth="1"/>
    <col min="3" max="3" width="4.25" customWidth="1"/>
    <col min="4" max="4" width="9" customWidth="1"/>
    <col min="5" max="35" width="5.625" customWidth="1"/>
    <col min="36" max="36" width="6.625" bestFit="1" customWidth="1"/>
    <col min="37" max="38" width="5.625" customWidth="1"/>
    <col min="39" max="43" width="8.5" customWidth="1"/>
    <col min="44" max="44" width="3.5" customWidth="1"/>
    <col min="45" max="45" width="12.125" bestFit="1" customWidth="1"/>
    <col min="46" max="46" width="6.5" bestFit="1" customWidth="1"/>
    <col min="47" max="48" width="6.5" customWidth="1"/>
    <col min="49" max="50" width="6.5" bestFit="1" customWidth="1"/>
    <col min="51" max="52" width="6.5" customWidth="1"/>
    <col min="53" max="54" width="6.5" bestFit="1" customWidth="1"/>
    <col min="55" max="56" width="6.5" customWidth="1"/>
    <col min="57" max="58" width="6.5" bestFit="1" customWidth="1"/>
    <col min="59" max="60" width="6.5" customWidth="1"/>
    <col min="61" max="63" width="6.5" bestFit="1" customWidth="1"/>
    <col min="64" max="77" width="3.5" customWidth="1"/>
  </cols>
  <sheetData>
    <row r="1" spans="2:63" ht="17.25" thickBot="1">
      <c r="AS1" s="74" t="s">
        <v>51</v>
      </c>
      <c r="AT1" s="120"/>
      <c r="AU1" s="120"/>
      <c r="AV1" s="120"/>
      <c r="AW1" s="120"/>
      <c r="AX1" s="120"/>
      <c r="AY1" s="120"/>
      <c r="AZ1" s="120"/>
      <c r="BA1" s="120"/>
      <c r="BB1" s="120"/>
      <c r="BC1" s="120"/>
      <c r="BD1" s="120"/>
      <c r="BE1" s="120"/>
      <c r="BF1" s="120"/>
      <c r="BG1" s="120"/>
      <c r="BH1" s="120"/>
      <c r="BI1" s="120"/>
      <c r="BJ1" s="120"/>
      <c r="BK1" s="75"/>
    </row>
    <row r="2" spans="2:63">
      <c r="B2" s="89" t="s">
        <v>0</v>
      </c>
      <c r="C2" s="91" t="s">
        <v>1</v>
      </c>
      <c r="D2" s="89" t="s">
        <v>2</v>
      </c>
      <c r="E2" s="1" t="s">
        <v>52</v>
      </c>
      <c r="F2" s="1" t="s">
        <v>53</v>
      </c>
      <c r="G2" s="1" t="s">
        <v>54</v>
      </c>
      <c r="H2" s="1" t="s">
        <v>55</v>
      </c>
      <c r="I2" s="1" t="s">
        <v>56</v>
      </c>
      <c r="J2" s="1" t="s">
        <v>57</v>
      </c>
      <c r="K2" s="1" t="s">
        <v>58</v>
      </c>
      <c r="L2" s="1" t="s">
        <v>59</v>
      </c>
      <c r="M2" s="1" t="s">
        <v>60</v>
      </c>
      <c r="N2" s="1" t="s">
        <v>61</v>
      </c>
      <c r="O2" s="1" t="s">
        <v>62</v>
      </c>
      <c r="P2" s="1" t="s">
        <v>63</v>
      </c>
      <c r="Q2" s="1" t="s">
        <v>64</v>
      </c>
      <c r="R2" s="1" t="s">
        <v>65</v>
      </c>
      <c r="S2" s="1" t="s">
        <v>66</v>
      </c>
      <c r="T2" s="1" t="s">
        <v>67</v>
      </c>
      <c r="U2" s="1" t="s">
        <v>68</v>
      </c>
      <c r="V2" s="1" t="s">
        <v>69</v>
      </c>
      <c r="W2" s="1" t="s">
        <v>70</v>
      </c>
      <c r="X2" s="1" t="s">
        <v>71</v>
      </c>
      <c r="Y2" s="1" t="s">
        <v>72</v>
      </c>
      <c r="Z2" s="1" t="s">
        <v>73</v>
      </c>
      <c r="AA2" s="1" t="s">
        <v>74</v>
      </c>
      <c r="AB2" s="1" t="s">
        <v>75</v>
      </c>
      <c r="AC2" s="1" t="s">
        <v>76</v>
      </c>
      <c r="AD2" s="1" t="s">
        <v>77</v>
      </c>
      <c r="AE2" s="1" t="s">
        <v>78</v>
      </c>
      <c r="AF2" s="1" t="s">
        <v>79</v>
      </c>
      <c r="AG2" s="1" t="s">
        <v>80</v>
      </c>
      <c r="AH2" s="1" t="s">
        <v>81</v>
      </c>
      <c r="AI2" s="1" t="s">
        <v>82</v>
      </c>
      <c r="AJ2" s="72" t="s">
        <v>3</v>
      </c>
      <c r="AS2" s="41" t="s">
        <v>36</v>
      </c>
      <c r="AT2" s="82" t="s">
        <v>7</v>
      </c>
      <c r="AU2" s="121"/>
      <c r="AV2" s="121"/>
      <c r="AW2" s="83"/>
      <c r="AX2" s="82" t="s">
        <v>9</v>
      </c>
      <c r="AY2" s="121"/>
      <c r="AZ2" s="121"/>
      <c r="BA2" s="83"/>
      <c r="BB2" s="82" t="s">
        <v>50</v>
      </c>
      <c r="BC2" s="121"/>
      <c r="BD2" s="121"/>
      <c r="BE2" s="83"/>
      <c r="BF2" s="82" t="s">
        <v>12</v>
      </c>
      <c r="BG2" s="121"/>
      <c r="BH2" s="121"/>
      <c r="BI2" s="83"/>
      <c r="BJ2" s="82" t="s">
        <v>35</v>
      </c>
      <c r="BK2" s="83"/>
    </row>
    <row r="3" spans="2:63" ht="17.25" thickBot="1">
      <c r="B3" s="90"/>
      <c r="C3" s="92"/>
      <c r="D3" s="90"/>
      <c r="E3" s="2" t="s">
        <v>85</v>
      </c>
      <c r="F3" s="2" t="s">
        <v>86</v>
      </c>
      <c r="G3" s="2" t="s">
        <v>87</v>
      </c>
      <c r="H3" s="2" t="s">
        <v>88</v>
      </c>
      <c r="I3" s="2" t="s">
        <v>83</v>
      </c>
      <c r="J3" s="2" t="s">
        <v>84</v>
      </c>
      <c r="K3" s="2" t="s">
        <v>89</v>
      </c>
      <c r="L3" s="2" t="s">
        <v>85</v>
      </c>
      <c r="M3" s="2" t="s">
        <v>86</v>
      </c>
      <c r="N3" s="2" t="s">
        <v>87</v>
      </c>
      <c r="O3" s="2" t="s">
        <v>88</v>
      </c>
      <c r="P3" s="2" t="s">
        <v>83</v>
      </c>
      <c r="Q3" s="2" t="s">
        <v>84</v>
      </c>
      <c r="R3" s="2" t="s">
        <v>89</v>
      </c>
      <c r="S3" s="2" t="s">
        <v>85</v>
      </c>
      <c r="T3" s="2" t="s">
        <v>86</v>
      </c>
      <c r="U3" s="2" t="s">
        <v>87</v>
      </c>
      <c r="V3" s="2" t="s">
        <v>88</v>
      </c>
      <c r="W3" s="2" t="s">
        <v>83</v>
      </c>
      <c r="X3" s="2" t="s">
        <v>84</v>
      </c>
      <c r="Y3" s="2" t="s">
        <v>89</v>
      </c>
      <c r="Z3" s="2" t="s">
        <v>85</v>
      </c>
      <c r="AA3" s="2" t="s">
        <v>86</v>
      </c>
      <c r="AB3" s="2" t="s">
        <v>87</v>
      </c>
      <c r="AC3" s="2" t="s">
        <v>88</v>
      </c>
      <c r="AD3" s="2" t="s">
        <v>83</v>
      </c>
      <c r="AE3" s="2" t="s">
        <v>84</v>
      </c>
      <c r="AF3" s="2" t="s">
        <v>89</v>
      </c>
      <c r="AG3" s="2" t="s">
        <v>85</v>
      </c>
      <c r="AH3" s="2" t="s">
        <v>86</v>
      </c>
      <c r="AI3" s="2" t="s">
        <v>87</v>
      </c>
      <c r="AJ3" s="73"/>
      <c r="AM3" s="49" t="s">
        <v>30</v>
      </c>
      <c r="AN3" s="49" t="s">
        <v>1</v>
      </c>
      <c r="AO3" s="49" t="s">
        <v>29</v>
      </c>
      <c r="AP3" s="49" t="s">
        <v>31</v>
      </c>
      <c r="AQ3" s="49" t="s">
        <v>32</v>
      </c>
      <c r="AS3" s="41" t="s">
        <v>1</v>
      </c>
      <c r="AT3" s="82" t="s">
        <v>34</v>
      </c>
      <c r="AU3" s="83"/>
      <c r="AV3" s="84" t="s">
        <v>33</v>
      </c>
      <c r="AW3" s="85"/>
      <c r="AX3" s="82" t="s">
        <v>34</v>
      </c>
      <c r="AY3" s="83"/>
      <c r="AZ3" s="84" t="s">
        <v>33</v>
      </c>
      <c r="BA3" s="85"/>
      <c r="BB3" s="82" t="s">
        <v>34</v>
      </c>
      <c r="BC3" s="83"/>
      <c r="BD3" s="84" t="s">
        <v>33</v>
      </c>
      <c r="BE3" s="85"/>
      <c r="BF3" s="82" t="s">
        <v>34</v>
      </c>
      <c r="BG3" s="83"/>
      <c r="BH3" s="84" t="s">
        <v>33</v>
      </c>
      <c r="BI3" s="85"/>
      <c r="BJ3" s="42" t="s">
        <v>34</v>
      </c>
      <c r="BK3" s="43" t="s">
        <v>33</v>
      </c>
    </row>
    <row r="4" spans="2:63">
      <c r="B4" s="76" t="s">
        <v>5</v>
      </c>
      <c r="C4" s="79" t="s">
        <v>34</v>
      </c>
      <c r="D4" s="5" t="s">
        <v>6</v>
      </c>
      <c r="E4" s="6">
        <v>0.2</v>
      </c>
      <c r="F4" s="6">
        <v>0.04</v>
      </c>
      <c r="G4" s="6">
        <v>1.34</v>
      </c>
      <c r="H4" s="6">
        <v>1.21</v>
      </c>
      <c r="I4" s="6">
        <v>0.17</v>
      </c>
      <c r="J4" s="7">
        <v>0.47</v>
      </c>
      <c r="K4" s="7">
        <v>0.96</v>
      </c>
      <c r="L4" s="7">
        <v>1.36</v>
      </c>
      <c r="M4" s="7">
        <v>1.1399999999999999</v>
      </c>
      <c r="N4" s="7">
        <v>2.2799999999999998</v>
      </c>
      <c r="O4" s="7">
        <v>2.39</v>
      </c>
      <c r="P4" s="7">
        <v>0.61</v>
      </c>
      <c r="Q4" s="7">
        <v>0.99</v>
      </c>
      <c r="R4" s="7">
        <v>2.13</v>
      </c>
      <c r="S4" s="7">
        <v>1.86</v>
      </c>
      <c r="T4" s="7">
        <v>2.25</v>
      </c>
      <c r="U4" s="7">
        <v>1.45</v>
      </c>
      <c r="V4" s="7">
        <v>1.22</v>
      </c>
      <c r="W4" s="7">
        <v>1.45</v>
      </c>
      <c r="X4" s="7">
        <v>1.79</v>
      </c>
      <c r="Y4" s="7">
        <v>3.26</v>
      </c>
      <c r="Z4" s="7">
        <v>3.26</v>
      </c>
      <c r="AA4" s="7">
        <v>0.13</v>
      </c>
      <c r="AB4" s="7">
        <v>1.68</v>
      </c>
      <c r="AC4" s="7">
        <v>2.77</v>
      </c>
      <c r="AD4" s="7">
        <v>2.06</v>
      </c>
      <c r="AE4" s="7">
        <v>1.68</v>
      </c>
      <c r="AF4" s="7">
        <v>1.36</v>
      </c>
      <c r="AG4" s="7">
        <v>1.48</v>
      </c>
      <c r="AH4" s="7">
        <v>2.23</v>
      </c>
      <c r="AI4" s="53">
        <v>0.41</v>
      </c>
      <c r="AJ4" s="37">
        <f t="shared" ref="AJ4:AJ27" si="0">AVERAGE(E4:AI4)</f>
        <v>1.4719354838709673</v>
      </c>
      <c r="AM4" s="49">
        <v>1</v>
      </c>
      <c r="AN4" s="49" t="s">
        <v>91</v>
      </c>
      <c r="AO4" s="62">
        <v>0</v>
      </c>
      <c r="AP4" s="49" t="s">
        <v>9</v>
      </c>
      <c r="AQ4" s="49">
        <v>70.849999999999994</v>
      </c>
      <c r="AS4" s="87" t="s">
        <v>48</v>
      </c>
      <c r="AT4" s="46" t="s">
        <v>46</v>
      </c>
      <c r="AU4" s="46" t="s">
        <v>47</v>
      </c>
      <c r="AV4" s="47" t="s">
        <v>46</v>
      </c>
      <c r="AW4" s="47" t="s">
        <v>47</v>
      </c>
      <c r="AX4" s="46" t="s">
        <v>46</v>
      </c>
      <c r="AY4" s="46" t="s">
        <v>47</v>
      </c>
      <c r="AZ4" s="47" t="s">
        <v>46</v>
      </c>
      <c r="BA4" s="47" t="s">
        <v>47</v>
      </c>
      <c r="BB4" s="46" t="s">
        <v>46</v>
      </c>
      <c r="BC4" s="46" t="s">
        <v>47</v>
      </c>
      <c r="BD4" s="47" t="s">
        <v>46</v>
      </c>
      <c r="BE4" s="47" t="s">
        <v>47</v>
      </c>
      <c r="BF4" s="46" t="s">
        <v>46</v>
      </c>
      <c r="BG4" s="46" t="s">
        <v>47</v>
      </c>
      <c r="BH4" s="47" t="s">
        <v>46</v>
      </c>
      <c r="BI4" s="47" t="s">
        <v>47</v>
      </c>
      <c r="BJ4" s="74" t="s">
        <v>49</v>
      </c>
      <c r="BK4" s="75"/>
    </row>
    <row r="5" spans="2:63">
      <c r="B5" s="77"/>
      <c r="C5" s="80"/>
      <c r="D5" s="9" t="s">
        <v>8</v>
      </c>
      <c r="E5" s="10">
        <v>4.22</v>
      </c>
      <c r="F5" s="10">
        <v>4.25</v>
      </c>
      <c r="G5" s="10">
        <v>4.67</v>
      </c>
      <c r="H5" s="10">
        <v>6.25</v>
      </c>
      <c r="I5" s="10">
        <v>3.01</v>
      </c>
      <c r="J5" s="61">
        <v>8.51</v>
      </c>
      <c r="K5" s="61">
        <v>8.74</v>
      </c>
      <c r="L5" s="61">
        <v>11.92</v>
      </c>
      <c r="M5" s="61">
        <v>9.7899999999999991</v>
      </c>
      <c r="N5" s="61">
        <v>18.73</v>
      </c>
      <c r="O5" s="61">
        <v>14.66</v>
      </c>
      <c r="P5" s="61">
        <v>10.85</v>
      </c>
      <c r="Q5" s="61">
        <v>12.99</v>
      </c>
      <c r="R5" s="61">
        <v>12.81</v>
      </c>
      <c r="S5" s="61">
        <v>12.11</v>
      </c>
      <c r="T5" s="61">
        <v>17.27</v>
      </c>
      <c r="U5" s="61">
        <v>10.59</v>
      </c>
      <c r="V5" s="61">
        <v>8.11</v>
      </c>
      <c r="W5" s="61">
        <v>12.85</v>
      </c>
      <c r="X5" s="61">
        <v>11.13</v>
      </c>
      <c r="Y5" s="61">
        <v>13.66</v>
      </c>
      <c r="Z5" s="61">
        <v>9.73</v>
      </c>
      <c r="AA5" s="61">
        <v>9.5299999999999994</v>
      </c>
      <c r="AB5" s="61">
        <v>9.34</v>
      </c>
      <c r="AC5" s="61">
        <v>11.26</v>
      </c>
      <c r="AD5" s="61">
        <v>12.54</v>
      </c>
      <c r="AE5" s="61">
        <v>12.68</v>
      </c>
      <c r="AF5" s="61">
        <v>12.51</v>
      </c>
      <c r="AG5" s="61">
        <v>18.670000000000002</v>
      </c>
      <c r="AH5" s="61">
        <v>15.04</v>
      </c>
      <c r="AI5" s="54">
        <v>11.11</v>
      </c>
      <c r="AJ5" s="38">
        <f t="shared" si="0"/>
        <v>10.952580645161293</v>
      </c>
      <c r="AM5" s="49">
        <v>1</v>
      </c>
      <c r="AN5" s="49" t="s">
        <v>91</v>
      </c>
      <c r="AO5" s="62">
        <v>0.125</v>
      </c>
      <c r="AP5" s="49" t="s">
        <v>92</v>
      </c>
      <c r="AQ5" s="49">
        <v>62.81</v>
      </c>
      <c r="AS5" s="88"/>
      <c r="AT5" s="41" t="s">
        <v>37</v>
      </c>
      <c r="AU5" s="41" t="s">
        <v>42</v>
      </c>
      <c r="AV5" s="48" t="s">
        <v>37</v>
      </c>
      <c r="AW5" s="48" t="s">
        <v>42</v>
      </c>
      <c r="AX5" s="41" t="s">
        <v>38</v>
      </c>
      <c r="AY5" s="41" t="s">
        <v>43</v>
      </c>
      <c r="AZ5" s="48" t="s">
        <v>38</v>
      </c>
      <c r="BA5" s="48" t="s">
        <v>43</v>
      </c>
      <c r="BB5" s="41" t="s">
        <v>39</v>
      </c>
      <c r="BC5" s="41" t="s">
        <v>44</v>
      </c>
      <c r="BD5" s="48" t="s">
        <v>39</v>
      </c>
      <c r="BE5" s="48" t="s">
        <v>44</v>
      </c>
      <c r="BF5" s="41" t="s">
        <v>40</v>
      </c>
      <c r="BG5" s="41" t="s">
        <v>45</v>
      </c>
      <c r="BH5" s="48" t="s">
        <v>40</v>
      </c>
      <c r="BI5" s="48">
        <v>40</v>
      </c>
      <c r="BJ5" s="41">
        <v>10</v>
      </c>
      <c r="BK5" s="41">
        <v>10</v>
      </c>
    </row>
    <row r="6" spans="2:63" ht="17.25" thickBot="1">
      <c r="B6" s="77"/>
      <c r="C6" s="81"/>
      <c r="D6" s="11" t="s">
        <v>10</v>
      </c>
      <c r="E6" s="12">
        <v>1.42</v>
      </c>
      <c r="F6" s="12">
        <v>1.72</v>
      </c>
      <c r="G6" s="12">
        <v>2.4700000000000002</v>
      </c>
      <c r="H6" s="12">
        <v>2.78</v>
      </c>
      <c r="I6" s="12">
        <v>1.24</v>
      </c>
      <c r="J6" s="13">
        <v>2.2000000000000002</v>
      </c>
      <c r="K6" s="13">
        <v>3.1</v>
      </c>
      <c r="L6" s="13">
        <v>5.95</v>
      </c>
      <c r="M6" s="13">
        <v>4.2</v>
      </c>
      <c r="N6" s="13">
        <v>6.62</v>
      </c>
      <c r="O6" s="13">
        <v>6.35</v>
      </c>
      <c r="P6" s="13">
        <v>4.49</v>
      </c>
      <c r="Q6" s="13">
        <v>5.05</v>
      </c>
      <c r="R6" s="13">
        <v>6.03</v>
      </c>
      <c r="S6" s="13">
        <v>5.98</v>
      </c>
      <c r="T6" s="13">
        <v>7.45</v>
      </c>
      <c r="U6" s="13">
        <v>4.41</v>
      </c>
      <c r="V6" s="13">
        <v>5.15</v>
      </c>
      <c r="W6" s="13">
        <v>6.41</v>
      </c>
      <c r="X6" s="13">
        <v>4.5199999999999996</v>
      </c>
      <c r="Y6" s="13">
        <v>7.15</v>
      </c>
      <c r="Z6" s="13">
        <v>6.11</v>
      </c>
      <c r="AA6" s="13">
        <v>4.83</v>
      </c>
      <c r="AB6" s="13">
        <v>5.07</v>
      </c>
      <c r="AC6" s="13">
        <v>6.06</v>
      </c>
      <c r="AD6" s="13">
        <v>4.71</v>
      </c>
      <c r="AE6" s="13">
        <v>5.17</v>
      </c>
      <c r="AF6" s="13">
        <v>5.67</v>
      </c>
      <c r="AG6" s="13">
        <v>7.43</v>
      </c>
      <c r="AH6" s="13">
        <v>6.19</v>
      </c>
      <c r="AI6" s="55">
        <v>3.79</v>
      </c>
      <c r="AJ6" s="39">
        <f t="shared" si="0"/>
        <v>4.8296774193548382</v>
      </c>
      <c r="AM6" s="49">
        <v>2</v>
      </c>
      <c r="AN6" s="49" t="s">
        <v>34</v>
      </c>
      <c r="AO6" s="62">
        <v>0.33333333333333331</v>
      </c>
      <c r="AP6" s="49" t="s">
        <v>92</v>
      </c>
      <c r="AQ6" s="49">
        <v>62.82</v>
      </c>
      <c r="AS6" s="46" t="s">
        <v>90</v>
      </c>
      <c r="AT6" s="44">
        <v>0</v>
      </c>
      <c r="AU6" s="44">
        <v>0</v>
      </c>
      <c r="AV6" s="45">
        <v>0</v>
      </c>
      <c r="AW6" s="45">
        <v>0</v>
      </c>
      <c r="AX6" s="44">
        <v>1</v>
      </c>
      <c r="AY6" s="44">
        <v>0</v>
      </c>
      <c r="AZ6" s="45">
        <v>0</v>
      </c>
      <c r="BA6" s="45">
        <v>0</v>
      </c>
      <c r="BB6" s="44">
        <v>5</v>
      </c>
      <c r="BC6" s="44">
        <v>0</v>
      </c>
      <c r="BD6" s="45">
        <v>0</v>
      </c>
      <c r="BE6" s="45">
        <v>0</v>
      </c>
      <c r="BF6" s="44">
        <v>0</v>
      </c>
      <c r="BG6" s="44">
        <v>0</v>
      </c>
      <c r="BH6" s="45">
        <v>0</v>
      </c>
      <c r="BI6" s="45">
        <v>0</v>
      </c>
      <c r="BJ6" s="44">
        <v>0</v>
      </c>
      <c r="BK6" s="45">
        <v>0</v>
      </c>
    </row>
    <row r="7" spans="2:63" ht="17.25" thickTop="1">
      <c r="B7" s="77"/>
      <c r="C7" s="80" t="s">
        <v>33</v>
      </c>
      <c r="D7" s="14" t="s">
        <v>6</v>
      </c>
      <c r="E7" s="15">
        <v>0.43</v>
      </c>
      <c r="F7" s="15">
        <v>0</v>
      </c>
      <c r="G7" s="15">
        <v>0.01</v>
      </c>
      <c r="H7" s="15">
        <v>0.42</v>
      </c>
      <c r="I7" s="15">
        <v>0.31</v>
      </c>
      <c r="J7" s="16">
        <v>0.03</v>
      </c>
      <c r="K7" s="16">
        <v>0.22</v>
      </c>
      <c r="L7" s="16">
        <v>0.45</v>
      </c>
      <c r="M7" s="16">
        <v>0.77</v>
      </c>
      <c r="N7" s="16">
        <v>0</v>
      </c>
      <c r="O7" s="16">
        <v>0.56000000000000005</v>
      </c>
      <c r="P7" s="16">
        <v>0</v>
      </c>
      <c r="Q7" s="16">
        <v>0</v>
      </c>
      <c r="R7" s="16">
        <v>0.23</v>
      </c>
      <c r="S7" s="16">
        <v>0</v>
      </c>
      <c r="T7" s="16">
        <v>0</v>
      </c>
      <c r="U7" s="16">
        <v>0.06</v>
      </c>
      <c r="V7" s="16">
        <v>0.02</v>
      </c>
      <c r="W7" s="16">
        <v>0.01</v>
      </c>
      <c r="X7" s="16">
        <v>0.02</v>
      </c>
      <c r="Y7" s="16">
        <v>0</v>
      </c>
      <c r="Z7" s="16">
        <v>0.3</v>
      </c>
      <c r="AA7" s="16">
        <v>0.2</v>
      </c>
      <c r="AB7" s="16">
        <v>0</v>
      </c>
      <c r="AC7" s="16">
        <v>0.76</v>
      </c>
      <c r="AD7" s="16">
        <v>0</v>
      </c>
      <c r="AE7" s="16">
        <v>0.04</v>
      </c>
      <c r="AF7" s="16">
        <v>0.42</v>
      </c>
      <c r="AG7" s="16">
        <v>0.08</v>
      </c>
      <c r="AH7" s="16">
        <v>0</v>
      </c>
      <c r="AI7" s="54">
        <v>0</v>
      </c>
      <c r="AJ7" s="38">
        <f t="shared" si="0"/>
        <v>0.17225806451612899</v>
      </c>
      <c r="AM7" s="49">
        <v>2</v>
      </c>
      <c r="AN7" s="49" t="s">
        <v>33</v>
      </c>
      <c r="AO7" s="62">
        <v>0.16666666666666666</v>
      </c>
      <c r="AP7" s="49" t="s">
        <v>92</v>
      </c>
      <c r="AQ7" s="49">
        <v>95.92</v>
      </c>
      <c r="AS7" s="46" t="s">
        <v>53</v>
      </c>
      <c r="AT7" s="44">
        <v>0</v>
      </c>
      <c r="AU7" s="44">
        <v>0</v>
      </c>
      <c r="AV7" s="45">
        <v>0</v>
      </c>
      <c r="AW7" s="45">
        <v>0</v>
      </c>
      <c r="AX7" s="44">
        <v>0</v>
      </c>
      <c r="AY7" s="44">
        <v>0</v>
      </c>
      <c r="AZ7" s="45">
        <v>0</v>
      </c>
      <c r="BA7" s="45">
        <v>0</v>
      </c>
      <c r="BB7" s="44">
        <v>4</v>
      </c>
      <c r="BC7" s="44">
        <v>0</v>
      </c>
      <c r="BD7" s="45">
        <v>6</v>
      </c>
      <c r="BE7" s="45">
        <v>0</v>
      </c>
      <c r="BF7" s="44">
        <v>0</v>
      </c>
      <c r="BG7" s="44">
        <v>0</v>
      </c>
      <c r="BH7" s="45">
        <v>0</v>
      </c>
      <c r="BI7" s="45">
        <v>0</v>
      </c>
      <c r="BJ7" s="44">
        <v>0</v>
      </c>
      <c r="BK7" s="45">
        <v>0</v>
      </c>
    </row>
    <row r="8" spans="2:63">
      <c r="B8" s="77"/>
      <c r="C8" s="80"/>
      <c r="D8" s="9" t="s">
        <v>8</v>
      </c>
      <c r="E8" s="10">
        <v>10.79</v>
      </c>
      <c r="F8" s="10">
        <v>4.6500000000000004</v>
      </c>
      <c r="G8" s="10">
        <v>10.19</v>
      </c>
      <c r="H8" s="10">
        <v>11.04</v>
      </c>
      <c r="I8" s="10">
        <v>11.63</v>
      </c>
      <c r="J8" s="61">
        <v>9.0399999999999991</v>
      </c>
      <c r="K8" s="61">
        <v>12.01</v>
      </c>
      <c r="L8" s="61">
        <v>10.24</v>
      </c>
      <c r="M8" s="61">
        <v>10.09</v>
      </c>
      <c r="N8" s="61">
        <v>4.9800000000000004</v>
      </c>
      <c r="O8" s="61">
        <v>19.190000000000001</v>
      </c>
      <c r="P8" s="61">
        <v>9.4600000000000009</v>
      </c>
      <c r="Q8" s="61">
        <v>6.19</v>
      </c>
      <c r="R8" s="61">
        <v>11.7</v>
      </c>
      <c r="S8" s="61">
        <v>7.82</v>
      </c>
      <c r="T8" s="61">
        <v>6.17</v>
      </c>
      <c r="U8" s="61">
        <v>7.94</v>
      </c>
      <c r="V8" s="61">
        <v>9.58</v>
      </c>
      <c r="W8" s="61">
        <v>12.12</v>
      </c>
      <c r="X8" s="61">
        <v>10.52</v>
      </c>
      <c r="Y8" s="61">
        <v>15.09</v>
      </c>
      <c r="Z8" s="61">
        <v>12.48</v>
      </c>
      <c r="AA8" s="61">
        <v>13.58</v>
      </c>
      <c r="AB8" s="61">
        <v>10.7</v>
      </c>
      <c r="AC8" s="61">
        <v>7.47</v>
      </c>
      <c r="AD8" s="61">
        <v>18.41</v>
      </c>
      <c r="AE8" s="61">
        <v>10.83</v>
      </c>
      <c r="AF8" s="61">
        <v>11.5</v>
      </c>
      <c r="AG8" s="61">
        <v>17.84</v>
      </c>
      <c r="AH8" s="61">
        <v>10.5</v>
      </c>
      <c r="AI8" s="54">
        <v>9.7799999999999994</v>
      </c>
      <c r="AJ8" s="38">
        <f t="shared" si="0"/>
        <v>10.759032258064513</v>
      </c>
      <c r="AM8" s="49">
        <v>2</v>
      </c>
      <c r="AN8" s="49" t="s">
        <v>33</v>
      </c>
      <c r="AO8" s="62">
        <v>0.875</v>
      </c>
      <c r="AP8" s="49" t="s">
        <v>92</v>
      </c>
      <c r="AQ8" s="49">
        <v>60.14</v>
      </c>
      <c r="AS8" s="46" t="s">
        <v>54</v>
      </c>
      <c r="AT8" s="44">
        <v>0</v>
      </c>
      <c r="AU8" s="44">
        <v>0</v>
      </c>
      <c r="AV8" s="45">
        <v>0</v>
      </c>
      <c r="AW8" s="45">
        <v>0</v>
      </c>
      <c r="AX8" s="44">
        <v>0</v>
      </c>
      <c r="AY8" s="44">
        <v>0</v>
      </c>
      <c r="AZ8" s="45">
        <v>0</v>
      </c>
      <c r="BA8" s="45">
        <v>0</v>
      </c>
      <c r="BB8" s="44">
        <v>0</v>
      </c>
      <c r="BC8" s="44">
        <v>0</v>
      </c>
      <c r="BD8" s="45">
        <v>6</v>
      </c>
      <c r="BE8" s="45">
        <v>0</v>
      </c>
      <c r="BF8" s="44">
        <v>0</v>
      </c>
      <c r="BG8" s="44">
        <v>0</v>
      </c>
      <c r="BH8" s="45">
        <v>0</v>
      </c>
      <c r="BI8" s="45">
        <v>0</v>
      </c>
      <c r="BJ8" s="44">
        <v>0</v>
      </c>
      <c r="BK8" s="45">
        <v>0</v>
      </c>
    </row>
    <row r="9" spans="2:63" ht="17.25" thickBot="1">
      <c r="B9" s="78"/>
      <c r="C9" s="86"/>
      <c r="D9" s="17" t="s">
        <v>10</v>
      </c>
      <c r="E9" s="18">
        <v>3.37</v>
      </c>
      <c r="F9" s="18">
        <v>1.04</v>
      </c>
      <c r="G9" s="18">
        <v>3</v>
      </c>
      <c r="H9" s="18">
        <v>5.1100000000000003</v>
      </c>
      <c r="I9" s="18">
        <v>4.03</v>
      </c>
      <c r="J9" s="19">
        <v>2.35</v>
      </c>
      <c r="K9" s="19">
        <v>6.24</v>
      </c>
      <c r="L9" s="19">
        <v>5.67</v>
      </c>
      <c r="M9" s="19">
        <v>3.73</v>
      </c>
      <c r="N9" s="19">
        <v>2.58</v>
      </c>
      <c r="O9" s="19">
        <v>5.59</v>
      </c>
      <c r="P9" s="19">
        <v>1.98</v>
      </c>
      <c r="Q9" s="19">
        <v>1.07</v>
      </c>
      <c r="R9" s="19">
        <v>3.84</v>
      </c>
      <c r="S9" s="19">
        <v>1.64</v>
      </c>
      <c r="T9" s="19">
        <v>2.48</v>
      </c>
      <c r="U9" s="19">
        <v>2.96</v>
      </c>
      <c r="V9" s="19">
        <v>3.45</v>
      </c>
      <c r="W9" s="19">
        <v>4.55</v>
      </c>
      <c r="X9" s="19">
        <v>3.72</v>
      </c>
      <c r="Y9" s="19">
        <v>4.29</v>
      </c>
      <c r="Z9" s="19">
        <v>4.91</v>
      </c>
      <c r="AA9" s="19">
        <v>2.69</v>
      </c>
      <c r="AB9" s="19">
        <v>3.14</v>
      </c>
      <c r="AC9" s="19">
        <v>4.0199999999999996</v>
      </c>
      <c r="AD9" s="19">
        <v>3.39</v>
      </c>
      <c r="AE9" s="19">
        <v>3.67</v>
      </c>
      <c r="AF9" s="19">
        <v>4.0999999999999996</v>
      </c>
      <c r="AG9" s="19">
        <v>3.83</v>
      </c>
      <c r="AH9" s="19">
        <v>3.39</v>
      </c>
      <c r="AI9" s="56">
        <v>3.21</v>
      </c>
      <c r="AJ9" s="35">
        <f t="shared" si="0"/>
        <v>3.5174193548387089</v>
      </c>
      <c r="AM9" s="49">
        <v>3</v>
      </c>
      <c r="AN9" s="49" t="s">
        <v>33</v>
      </c>
      <c r="AO9" s="62">
        <v>0.29166666666666669</v>
      </c>
      <c r="AP9" s="49" t="s">
        <v>92</v>
      </c>
      <c r="AQ9" s="49">
        <v>71.03</v>
      </c>
      <c r="AS9" s="46" t="s">
        <v>55</v>
      </c>
      <c r="AT9" s="44">
        <v>0</v>
      </c>
      <c r="AU9" s="44">
        <v>0</v>
      </c>
      <c r="AV9" s="45">
        <v>0</v>
      </c>
      <c r="AW9" s="45">
        <v>0</v>
      </c>
      <c r="AX9" s="44">
        <v>0</v>
      </c>
      <c r="AY9" s="44">
        <v>0</v>
      </c>
      <c r="AZ9" s="45">
        <v>0</v>
      </c>
      <c r="BA9" s="45">
        <v>0</v>
      </c>
      <c r="BB9" s="44">
        <v>2</v>
      </c>
      <c r="BC9" s="44">
        <v>0</v>
      </c>
      <c r="BD9" s="45">
        <v>9</v>
      </c>
      <c r="BE9" s="45">
        <v>0</v>
      </c>
      <c r="BF9" s="44">
        <v>0</v>
      </c>
      <c r="BG9" s="44">
        <v>0</v>
      </c>
      <c r="BH9" s="45">
        <v>1</v>
      </c>
      <c r="BI9" s="45">
        <v>0</v>
      </c>
      <c r="BJ9" s="44">
        <v>0</v>
      </c>
      <c r="BK9" s="45">
        <v>0</v>
      </c>
    </row>
    <row r="10" spans="2:63">
      <c r="B10" s="76" t="s">
        <v>14</v>
      </c>
      <c r="C10" s="79" t="s">
        <v>34</v>
      </c>
      <c r="D10" s="5" t="s">
        <v>6</v>
      </c>
      <c r="E10" s="20">
        <v>39.11</v>
      </c>
      <c r="F10" s="20">
        <v>41.19</v>
      </c>
      <c r="G10" s="20">
        <v>45.82</v>
      </c>
      <c r="H10" s="20">
        <v>51.25</v>
      </c>
      <c r="I10" s="20">
        <v>56.72</v>
      </c>
      <c r="J10" s="21">
        <v>54.7</v>
      </c>
      <c r="K10" s="21">
        <v>47.22</v>
      </c>
      <c r="L10" s="21">
        <v>49.73</v>
      </c>
      <c r="M10" s="21">
        <v>54.53</v>
      </c>
      <c r="N10" s="21">
        <v>57.04</v>
      </c>
      <c r="O10" s="21">
        <v>52.83</v>
      </c>
      <c r="P10" s="21">
        <v>53.88</v>
      </c>
      <c r="Q10" s="21">
        <v>47.12</v>
      </c>
      <c r="R10" s="21">
        <v>55.43</v>
      </c>
      <c r="S10" s="21">
        <v>57.38</v>
      </c>
      <c r="T10" s="7">
        <v>54.29</v>
      </c>
      <c r="U10" s="7">
        <v>57.58</v>
      </c>
      <c r="V10" s="7">
        <v>49.73</v>
      </c>
      <c r="W10" s="7">
        <v>45.34</v>
      </c>
      <c r="X10" s="7">
        <v>42.48</v>
      </c>
      <c r="Y10" s="7">
        <v>58.56</v>
      </c>
      <c r="Z10" s="7">
        <v>54.68</v>
      </c>
      <c r="AA10" s="7">
        <v>52.58</v>
      </c>
      <c r="AB10" s="7">
        <v>51.49</v>
      </c>
      <c r="AC10" s="7">
        <v>52.02</v>
      </c>
      <c r="AD10" s="7">
        <v>49.01</v>
      </c>
      <c r="AE10" s="7">
        <v>47.71</v>
      </c>
      <c r="AF10" s="7">
        <v>53.46</v>
      </c>
      <c r="AG10" s="21">
        <v>50.11</v>
      </c>
      <c r="AH10" s="21">
        <v>51.05</v>
      </c>
      <c r="AI10" s="57">
        <v>50.09</v>
      </c>
      <c r="AJ10" s="37">
        <f t="shared" si="0"/>
        <v>51.100967741935477</v>
      </c>
      <c r="AM10" s="49">
        <v>4</v>
      </c>
      <c r="AN10" s="49" t="s">
        <v>34</v>
      </c>
      <c r="AO10" s="62">
        <v>8.3333333333333329E-2</v>
      </c>
      <c r="AP10" s="49" t="s">
        <v>92</v>
      </c>
      <c r="AQ10" s="49">
        <v>63.25</v>
      </c>
      <c r="AS10" s="46" t="s">
        <v>56</v>
      </c>
      <c r="AT10" s="44">
        <v>0</v>
      </c>
      <c r="AU10" s="44">
        <v>0</v>
      </c>
      <c r="AV10" s="45">
        <v>0</v>
      </c>
      <c r="AW10" s="45">
        <v>0</v>
      </c>
      <c r="AX10" s="44">
        <v>0</v>
      </c>
      <c r="AY10" s="44">
        <v>0</v>
      </c>
      <c r="AZ10" s="45">
        <v>0</v>
      </c>
      <c r="BA10" s="45">
        <v>0</v>
      </c>
      <c r="BB10" s="44">
        <v>1</v>
      </c>
      <c r="BC10" s="44">
        <v>0</v>
      </c>
      <c r="BD10" s="45">
        <v>5</v>
      </c>
      <c r="BE10" s="45">
        <v>1</v>
      </c>
      <c r="BF10" s="44">
        <v>0</v>
      </c>
      <c r="BG10" s="44">
        <v>0</v>
      </c>
      <c r="BH10" s="45">
        <v>0</v>
      </c>
      <c r="BI10" s="45">
        <v>0</v>
      </c>
      <c r="BJ10" s="44">
        <v>0</v>
      </c>
      <c r="BK10" s="45">
        <v>0</v>
      </c>
    </row>
    <row r="11" spans="2:63">
      <c r="B11" s="77"/>
      <c r="C11" s="80"/>
      <c r="D11" s="9" t="s">
        <v>8</v>
      </c>
      <c r="E11" s="10">
        <v>70.849999999999994</v>
      </c>
      <c r="F11" s="10">
        <v>64.94</v>
      </c>
      <c r="G11" s="10">
        <v>66.33</v>
      </c>
      <c r="H11" s="10">
        <v>68.34</v>
      </c>
      <c r="I11" s="10">
        <v>68.98</v>
      </c>
      <c r="J11" s="61">
        <v>68.069999999999993</v>
      </c>
      <c r="K11" s="61">
        <v>66.87</v>
      </c>
      <c r="L11" s="61">
        <v>71.599999999999994</v>
      </c>
      <c r="M11" s="61">
        <v>67.47</v>
      </c>
      <c r="N11" s="61">
        <v>68.52</v>
      </c>
      <c r="O11" s="61">
        <v>69.55</v>
      </c>
      <c r="P11" s="61">
        <v>64.92</v>
      </c>
      <c r="Q11" s="61">
        <v>66.63</v>
      </c>
      <c r="R11" s="61">
        <v>66.69</v>
      </c>
      <c r="S11" s="61">
        <v>66.81</v>
      </c>
      <c r="T11" s="61">
        <v>74.239999999999995</v>
      </c>
      <c r="U11" s="61">
        <v>67.040000000000006</v>
      </c>
      <c r="V11" s="61">
        <v>68.06</v>
      </c>
      <c r="W11" s="61">
        <v>68.209999999999994</v>
      </c>
      <c r="X11" s="61">
        <v>68</v>
      </c>
      <c r="Y11" s="61">
        <v>68.150000000000006</v>
      </c>
      <c r="Z11" s="61">
        <v>69.36</v>
      </c>
      <c r="AA11" s="61">
        <v>64.319999999999993</v>
      </c>
      <c r="AB11" s="61">
        <v>65.87</v>
      </c>
      <c r="AC11" s="61">
        <v>67.040000000000006</v>
      </c>
      <c r="AD11" s="61">
        <v>65.510000000000005</v>
      </c>
      <c r="AE11" s="61">
        <v>62.27</v>
      </c>
      <c r="AF11" s="61">
        <v>69.819999999999993</v>
      </c>
      <c r="AG11" s="61">
        <v>68.52</v>
      </c>
      <c r="AH11" s="61">
        <v>66.83</v>
      </c>
      <c r="AI11" s="54">
        <v>69.25</v>
      </c>
      <c r="AJ11" s="38">
        <f t="shared" si="0"/>
        <v>67.711612903225785</v>
      </c>
      <c r="AM11" s="49">
        <v>4</v>
      </c>
      <c r="AN11" s="49" t="s">
        <v>33</v>
      </c>
      <c r="AO11" s="62">
        <v>8.3333333333333329E-2</v>
      </c>
      <c r="AP11" s="49" t="s">
        <v>92</v>
      </c>
      <c r="AQ11" s="49">
        <v>87.62</v>
      </c>
      <c r="AS11" s="46" t="s">
        <v>57</v>
      </c>
      <c r="AT11" s="44">
        <v>0</v>
      </c>
      <c r="AU11" s="44">
        <v>0</v>
      </c>
      <c r="AV11" s="45">
        <v>0</v>
      </c>
      <c r="AW11" s="45">
        <v>0</v>
      </c>
      <c r="AX11" s="44">
        <v>0</v>
      </c>
      <c r="AY11" s="44">
        <v>0</v>
      </c>
      <c r="AZ11" s="45">
        <v>0</v>
      </c>
      <c r="BA11" s="45">
        <v>0</v>
      </c>
      <c r="BB11" s="44">
        <v>2</v>
      </c>
      <c r="BC11" s="44">
        <v>0</v>
      </c>
      <c r="BD11" s="45">
        <v>2</v>
      </c>
      <c r="BE11" s="45">
        <v>0</v>
      </c>
      <c r="BF11" s="44">
        <v>0</v>
      </c>
      <c r="BG11" s="44">
        <v>0</v>
      </c>
      <c r="BH11" s="45">
        <v>0</v>
      </c>
      <c r="BI11" s="45">
        <v>0</v>
      </c>
      <c r="BJ11" s="44">
        <v>0</v>
      </c>
      <c r="BK11" s="45">
        <v>0</v>
      </c>
    </row>
    <row r="12" spans="2:63" ht="17.25" thickBot="1">
      <c r="B12" s="77"/>
      <c r="C12" s="81"/>
      <c r="D12" s="11" t="s">
        <v>10</v>
      </c>
      <c r="E12" s="12">
        <v>54.65</v>
      </c>
      <c r="F12" s="12">
        <v>55.98</v>
      </c>
      <c r="G12" s="12">
        <v>58.43</v>
      </c>
      <c r="H12" s="12">
        <v>60.43</v>
      </c>
      <c r="I12" s="12">
        <v>63.69</v>
      </c>
      <c r="J12" s="13">
        <v>63.02</v>
      </c>
      <c r="K12" s="13">
        <v>59.7</v>
      </c>
      <c r="L12" s="13">
        <v>62.13</v>
      </c>
      <c r="M12" s="13">
        <v>60.83</v>
      </c>
      <c r="N12" s="13">
        <v>61.97</v>
      </c>
      <c r="O12" s="13">
        <v>59.75</v>
      </c>
      <c r="P12" s="13">
        <v>60.17</v>
      </c>
      <c r="Q12" s="13">
        <v>57.92</v>
      </c>
      <c r="R12" s="13">
        <v>62.79</v>
      </c>
      <c r="S12" s="13">
        <v>61.76</v>
      </c>
      <c r="T12" s="13">
        <v>62.25</v>
      </c>
      <c r="U12" s="13">
        <v>62.41</v>
      </c>
      <c r="V12" s="13">
        <v>60.35</v>
      </c>
      <c r="W12" s="13">
        <v>55.53</v>
      </c>
      <c r="X12" s="13">
        <v>58.47</v>
      </c>
      <c r="Y12" s="13">
        <v>62.44</v>
      </c>
      <c r="Z12" s="13">
        <v>61.56</v>
      </c>
      <c r="AA12" s="13">
        <v>58.84</v>
      </c>
      <c r="AB12" s="13">
        <v>58.78</v>
      </c>
      <c r="AC12" s="13">
        <v>58.67</v>
      </c>
      <c r="AD12" s="13">
        <v>58.13</v>
      </c>
      <c r="AE12" s="13">
        <v>57.17</v>
      </c>
      <c r="AF12" s="13">
        <v>62.05</v>
      </c>
      <c r="AG12" s="13">
        <v>61.96</v>
      </c>
      <c r="AH12" s="13">
        <v>60.33</v>
      </c>
      <c r="AI12" s="55">
        <v>60.05</v>
      </c>
      <c r="AJ12" s="39">
        <f t="shared" si="0"/>
        <v>60.071290322580637</v>
      </c>
      <c r="AM12" s="49">
        <v>4</v>
      </c>
      <c r="AN12" s="49" t="s">
        <v>33</v>
      </c>
      <c r="AO12" s="62">
        <v>0.25</v>
      </c>
      <c r="AP12" s="49" t="s">
        <v>92</v>
      </c>
      <c r="AQ12" s="49">
        <v>79.53</v>
      </c>
      <c r="AS12" s="46" t="s">
        <v>58</v>
      </c>
      <c r="AT12" s="44">
        <v>0</v>
      </c>
      <c r="AU12" s="44">
        <v>0</v>
      </c>
      <c r="AV12" s="45">
        <v>0</v>
      </c>
      <c r="AW12" s="45">
        <v>0</v>
      </c>
      <c r="AX12" s="44">
        <v>0</v>
      </c>
      <c r="AY12" s="44">
        <v>0</v>
      </c>
      <c r="AZ12" s="45">
        <v>0</v>
      </c>
      <c r="BA12" s="45">
        <v>0</v>
      </c>
      <c r="BB12" s="44">
        <v>7</v>
      </c>
      <c r="BC12" s="44">
        <v>0</v>
      </c>
      <c r="BD12" s="45">
        <v>16</v>
      </c>
      <c r="BE12" s="45">
        <v>0</v>
      </c>
      <c r="BF12" s="44">
        <v>0</v>
      </c>
      <c r="BG12" s="44">
        <v>0</v>
      </c>
      <c r="BH12" s="45">
        <v>0</v>
      </c>
      <c r="BI12" s="45">
        <v>0</v>
      </c>
      <c r="BJ12" s="44">
        <v>0</v>
      </c>
      <c r="BK12" s="45">
        <v>0</v>
      </c>
    </row>
    <row r="13" spans="2:63" ht="17.25" thickTop="1">
      <c r="B13" s="77"/>
      <c r="C13" s="80" t="s">
        <v>33</v>
      </c>
      <c r="D13" s="14" t="s">
        <v>6</v>
      </c>
      <c r="E13" s="15">
        <v>44.92</v>
      </c>
      <c r="F13" s="15">
        <v>39.369999999999997</v>
      </c>
      <c r="G13" s="15">
        <v>37.799999999999997</v>
      </c>
      <c r="H13" s="15">
        <v>40.4</v>
      </c>
      <c r="I13" s="15">
        <v>37.08</v>
      </c>
      <c r="J13" s="16">
        <v>37.36</v>
      </c>
      <c r="K13" s="16">
        <v>45.95</v>
      </c>
      <c r="L13" s="16">
        <v>42.13</v>
      </c>
      <c r="M13" s="16">
        <v>42.03</v>
      </c>
      <c r="N13" s="16">
        <v>40.97</v>
      </c>
      <c r="O13" s="16">
        <v>45.56</v>
      </c>
      <c r="P13" s="16">
        <v>32.630000000000003</v>
      </c>
      <c r="Q13" s="16">
        <v>28.91</v>
      </c>
      <c r="R13" s="16">
        <v>30.75</v>
      </c>
      <c r="S13" s="16">
        <v>41.53</v>
      </c>
      <c r="T13" s="16">
        <v>41.07</v>
      </c>
      <c r="U13" s="16">
        <v>43.93</v>
      </c>
      <c r="V13" s="16">
        <v>29.68</v>
      </c>
      <c r="W13" s="16">
        <v>26.49</v>
      </c>
      <c r="X13" s="16">
        <v>38.44</v>
      </c>
      <c r="Y13" s="16">
        <v>50.31</v>
      </c>
      <c r="Z13" s="16">
        <v>50.79</v>
      </c>
      <c r="AA13" s="16">
        <v>49.02</v>
      </c>
      <c r="AB13" s="16">
        <v>44.18</v>
      </c>
      <c r="AC13" s="16">
        <v>43.37</v>
      </c>
      <c r="AD13" s="16">
        <v>39.08</v>
      </c>
      <c r="AE13" s="16">
        <v>35.42</v>
      </c>
      <c r="AF13" s="16">
        <v>37.89</v>
      </c>
      <c r="AG13" s="16">
        <v>40.81</v>
      </c>
      <c r="AH13" s="16">
        <v>34.590000000000003</v>
      </c>
      <c r="AI13" s="54">
        <v>38.54</v>
      </c>
      <c r="AJ13" s="38">
        <f t="shared" si="0"/>
        <v>39.709677419354833</v>
      </c>
      <c r="AM13" s="49">
        <v>4</v>
      </c>
      <c r="AN13" s="49" t="s">
        <v>33</v>
      </c>
      <c r="AO13" s="62">
        <v>0.91666666666666663</v>
      </c>
      <c r="AP13" s="49" t="s">
        <v>93</v>
      </c>
      <c r="AQ13" s="49">
        <v>33</v>
      </c>
      <c r="AS13" s="46" t="s">
        <v>59</v>
      </c>
      <c r="AT13" s="44">
        <v>0</v>
      </c>
      <c r="AU13" s="44">
        <v>0</v>
      </c>
      <c r="AV13" s="45">
        <v>0</v>
      </c>
      <c r="AW13" s="45">
        <v>0</v>
      </c>
      <c r="AX13" s="44">
        <v>1</v>
      </c>
      <c r="AY13" s="44">
        <v>0</v>
      </c>
      <c r="AZ13" s="45">
        <v>0</v>
      </c>
      <c r="BA13" s="45">
        <v>0</v>
      </c>
      <c r="BB13" s="44">
        <v>3</v>
      </c>
      <c r="BC13" s="44">
        <v>0</v>
      </c>
      <c r="BD13" s="45">
        <v>11</v>
      </c>
      <c r="BE13" s="45">
        <v>0</v>
      </c>
      <c r="BF13" s="44">
        <v>0</v>
      </c>
      <c r="BG13" s="44">
        <v>0</v>
      </c>
      <c r="BH13" s="45">
        <v>0</v>
      </c>
      <c r="BI13" s="45">
        <v>0</v>
      </c>
      <c r="BJ13" s="44">
        <v>0</v>
      </c>
      <c r="BK13" s="45">
        <v>0</v>
      </c>
    </row>
    <row r="14" spans="2:63">
      <c r="B14" s="77"/>
      <c r="C14" s="80"/>
      <c r="D14" s="9" t="s">
        <v>8</v>
      </c>
      <c r="E14" s="10">
        <v>61.35</v>
      </c>
      <c r="F14" s="10">
        <v>62.12</v>
      </c>
      <c r="G14" s="10">
        <v>66.72</v>
      </c>
      <c r="H14" s="10">
        <v>63.22</v>
      </c>
      <c r="I14" s="10">
        <v>66.040000000000006</v>
      </c>
      <c r="J14" s="61">
        <v>56.44</v>
      </c>
      <c r="K14" s="61">
        <v>62.14</v>
      </c>
      <c r="L14" s="61">
        <v>59.36</v>
      </c>
      <c r="M14" s="61">
        <v>66.260000000000005</v>
      </c>
      <c r="N14" s="61">
        <v>61.12</v>
      </c>
      <c r="O14" s="61">
        <v>59.78</v>
      </c>
      <c r="P14" s="61">
        <v>60.77</v>
      </c>
      <c r="Q14" s="61">
        <v>64.28</v>
      </c>
      <c r="R14" s="61">
        <v>63.06</v>
      </c>
      <c r="S14" s="61">
        <v>60.79</v>
      </c>
      <c r="T14" s="61">
        <v>66.75</v>
      </c>
      <c r="U14" s="61">
        <v>61.78</v>
      </c>
      <c r="V14" s="61">
        <v>66.959999999999994</v>
      </c>
      <c r="W14" s="61">
        <v>70.48</v>
      </c>
      <c r="X14" s="61">
        <v>65.17</v>
      </c>
      <c r="Y14" s="61">
        <v>71.14</v>
      </c>
      <c r="Z14" s="61">
        <v>67.75</v>
      </c>
      <c r="AA14" s="61">
        <v>65.8</v>
      </c>
      <c r="AB14" s="61">
        <v>69.53</v>
      </c>
      <c r="AC14" s="61">
        <v>64.94</v>
      </c>
      <c r="AD14" s="61">
        <v>64.849999999999994</v>
      </c>
      <c r="AE14" s="61">
        <v>53.72</v>
      </c>
      <c r="AF14" s="61">
        <v>59.1</v>
      </c>
      <c r="AG14" s="61">
        <v>64.95</v>
      </c>
      <c r="AH14" s="61">
        <v>56.65</v>
      </c>
      <c r="AI14" s="54">
        <v>59.88</v>
      </c>
      <c r="AJ14" s="38">
        <f t="shared" si="0"/>
        <v>63.319354838709678</v>
      </c>
      <c r="AM14" s="49">
        <v>5</v>
      </c>
      <c r="AN14" s="49" t="s">
        <v>34</v>
      </c>
      <c r="AO14" s="62">
        <v>0.45833333333333331</v>
      </c>
      <c r="AP14" s="49" t="s">
        <v>92</v>
      </c>
      <c r="AQ14" s="49">
        <v>60.05</v>
      </c>
      <c r="AS14" s="46" t="s">
        <v>60</v>
      </c>
      <c r="AT14" s="44">
        <v>0</v>
      </c>
      <c r="AU14" s="44">
        <v>0</v>
      </c>
      <c r="AV14" s="45">
        <v>0</v>
      </c>
      <c r="AW14" s="45">
        <v>0</v>
      </c>
      <c r="AX14" s="44">
        <v>0</v>
      </c>
      <c r="AY14" s="44">
        <v>0</v>
      </c>
      <c r="AZ14" s="45">
        <v>0</v>
      </c>
      <c r="BA14" s="45">
        <v>0</v>
      </c>
      <c r="BB14" s="44">
        <v>4</v>
      </c>
      <c r="BC14" s="44">
        <v>0</v>
      </c>
      <c r="BD14" s="45">
        <v>13</v>
      </c>
      <c r="BE14" s="45">
        <v>0</v>
      </c>
      <c r="BF14" s="44">
        <v>0</v>
      </c>
      <c r="BG14" s="44">
        <v>0</v>
      </c>
      <c r="BH14" s="45">
        <v>0</v>
      </c>
      <c r="BI14" s="45">
        <v>0</v>
      </c>
      <c r="BJ14" s="44">
        <v>0</v>
      </c>
      <c r="BK14" s="45">
        <v>0</v>
      </c>
    </row>
    <row r="15" spans="2:63" ht="17.25" thickBot="1">
      <c r="B15" s="78"/>
      <c r="C15" s="86"/>
      <c r="D15" s="17" t="s">
        <v>10</v>
      </c>
      <c r="E15" s="18">
        <v>53.62</v>
      </c>
      <c r="F15" s="18">
        <v>52.41</v>
      </c>
      <c r="G15" s="18">
        <v>54.19</v>
      </c>
      <c r="H15" s="18">
        <v>54.39</v>
      </c>
      <c r="I15" s="18">
        <v>51.14</v>
      </c>
      <c r="J15" s="19">
        <v>46.05</v>
      </c>
      <c r="K15" s="19">
        <v>52.91</v>
      </c>
      <c r="L15" s="19">
        <v>52.09</v>
      </c>
      <c r="M15" s="19">
        <v>53.74</v>
      </c>
      <c r="N15" s="19">
        <v>51.98</v>
      </c>
      <c r="O15" s="19">
        <v>52.95</v>
      </c>
      <c r="P15" s="19">
        <v>53.49</v>
      </c>
      <c r="Q15" s="19">
        <v>49.47</v>
      </c>
      <c r="R15" s="19">
        <v>49.06</v>
      </c>
      <c r="S15" s="19">
        <v>49.04</v>
      </c>
      <c r="T15" s="19">
        <v>52.36</v>
      </c>
      <c r="U15" s="19">
        <v>52.44</v>
      </c>
      <c r="V15" s="19">
        <v>53.83</v>
      </c>
      <c r="W15" s="19">
        <v>55.41</v>
      </c>
      <c r="X15" s="19">
        <v>55.15</v>
      </c>
      <c r="Y15" s="19">
        <v>61.64</v>
      </c>
      <c r="Z15" s="19">
        <v>60.47</v>
      </c>
      <c r="AA15" s="19">
        <v>59.06</v>
      </c>
      <c r="AB15" s="19">
        <v>56.69</v>
      </c>
      <c r="AC15" s="19">
        <v>54.03</v>
      </c>
      <c r="AD15" s="19">
        <v>53.37</v>
      </c>
      <c r="AE15" s="19">
        <v>45.12</v>
      </c>
      <c r="AF15" s="19">
        <v>48.72</v>
      </c>
      <c r="AG15" s="19">
        <v>51.15</v>
      </c>
      <c r="AH15" s="19">
        <v>46.51</v>
      </c>
      <c r="AI15" s="56">
        <v>48.21</v>
      </c>
      <c r="AJ15" s="35">
        <f t="shared" si="0"/>
        <v>52.602903225806457</v>
      </c>
      <c r="AM15" s="49">
        <v>5</v>
      </c>
      <c r="AN15" s="49" t="s">
        <v>33</v>
      </c>
      <c r="AO15" s="62">
        <v>0.41666666666666669</v>
      </c>
      <c r="AP15" s="49" t="s">
        <v>92</v>
      </c>
      <c r="AQ15" s="49">
        <v>73.349999999999994</v>
      </c>
      <c r="AS15" s="46" t="s">
        <v>61</v>
      </c>
      <c r="AT15" s="44">
        <v>0</v>
      </c>
      <c r="AU15" s="44">
        <v>0</v>
      </c>
      <c r="AV15" s="45">
        <v>0</v>
      </c>
      <c r="AW15" s="45">
        <v>0</v>
      </c>
      <c r="AX15" s="44">
        <v>0</v>
      </c>
      <c r="AY15" s="44">
        <v>0</v>
      </c>
      <c r="AZ15" s="45">
        <v>0</v>
      </c>
      <c r="BA15" s="45">
        <v>0</v>
      </c>
      <c r="BB15" s="44">
        <v>3</v>
      </c>
      <c r="BC15" s="44">
        <v>0</v>
      </c>
      <c r="BD15" s="45">
        <v>1</v>
      </c>
      <c r="BE15" s="45">
        <v>0</v>
      </c>
      <c r="BF15" s="44">
        <v>0</v>
      </c>
      <c r="BG15" s="44">
        <v>0</v>
      </c>
      <c r="BH15" s="45">
        <v>0</v>
      </c>
      <c r="BI15" s="45">
        <v>0</v>
      </c>
      <c r="BJ15" s="44">
        <v>0</v>
      </c>
      <c r="BK15" s="45">
        <v>0</v>
      </c>
    </row>
    <row r="16" spans="2:63">
      <c r="B16" s="76" t="s">
        <v>15</v>
      </c>
      <c r="C16" s="79" t="s">
        <v>34</v>
      </c>
      <c r="D16" s="5" t="s">
        <v>6</v>
      </c>
      <c r="E16" s="6">
        <v>4.04</v>
      </c>
      <c r="F16" s="6">
        <v>4</v>
      </c>
      <c r="G16" s="6">
        <v>2.54</v>
      </c>
      <c r="H16" s="6">
        <v>3.14</v>
      </c>
      <c r="I16" s="6">
        <v>12.13</v>
      </c>
      <c r="J16" s="7">
        <v>6.38</v>
      </c>
      <c r="K16" s="7">
        <v>2.58</v>
      </c>
      <c r="L16" s="7">
        <v>3.35</v>
      </c>
      <c r="M16" s="7">
        <v>2.15</v>
      </c>
      <c r="N16" s="7">
        <v>5.64</v>
      </c>
      <c r="O16" s="7">
        <v>3.19</v>
      </c>
      <c r="P16" s="7">
        <v>4.46</v>
      </c>
      <c r="Q16" s="7">
        <v>3.53</v>
      </c>
      <c r="R16" s="7">
        <v>2.39</v>
      </c>
      <c r="S16" s="7">
        <v>2.4</v>
      </c>
      <c r="T16" s="7">
        <v>2.71</v>
      </c>
      <c r="U16" s="7">
        <v>4.22</v>
      </c>
      <c r="V16" s="7">
        <v>2.58</v>
      </c>
      <c r="W16" s="7">
        <v>6.33</v>
      </c>
      <c r="X16" s="7">
        <v>0.27</v>
      </c>
      <c r="Y16" s="7">
        <v>3.76</v>
      </c>
      <c r="Z16" s="7">
        <v>3.16</v>
      </c>
      <c r="AA16" s="7">
        <v>2.56</v>
      </c>
      <c r="AB16" s="7">
        <v>2.11</v>
      </c>
      <c r="AC16" s="7">
        <v>3.95</v>
      </c>
      <c r="AD16" s="7">
        <v>3.77</v>
      </c>
      <c r="AE16" s="7">
        <v>4.38</v>
      </c>
      <c r="AF16" s="7">
        <v>2.35</v>
      </c>
      <c r="AG16" s="7">
        <v>2.36</v>
      </c>
      <c r="AH16" s="7">
        <v>1.31</v>
      </c>
      <c r="AI16" s="53">
        <v>2.25</v>
      </c>
      <c r="AJ16" s="37">
        <f t="shared" si="0"/>
        <v>3.5480645161290316</v>
      </c>
      <c r="AM16" s="49">
        <v>5</v>
      </c>
      <c r="AN16" s="49" t="s">
        <v>33</v>
      </c>
      <c r="AO16" s="62">
        <v>0.45833333333333331</v>
      </c>
      <c r="AP16" s="49" t="s">
        <v>92</v>
      </c>
      <c r="AQ16" s="49">
        <v>136.4</v>
      </c>
      <c r="AS16" s="46" t="s">
        <v>62</v>
      </c>
      <c r="AT16" s="44">
        <v>0</v>
      </c>
      <c r="AU16" s="44">
        <v>0</v>
      </c>
      <c r="AV16" s="45">
        <v>0</v>
      </c>
      <c r="AW16" s="45">
        <v>0</v>
      </c>
      <c r="AX16" s="44">
        <v>0</v>
      </c>
      <c r="AY16" s="44">
        <v>0</v>
      </c>
      <c r="AZ16" s="45">
        <v>0</v>
      </c>
      <c r="BA16" s="45">
        <v>0</v>
      </c>
      <c r="BB16" s="44">
        <v>0</v>
      </c>
      <c r="BC16" s="44">
        <v>0</v>
      </c>
      <c r="BD16" s="45">
        <v>5</v>
      </c>
      <c r="BE16" s="45">
        <v>0</v>
      </c>
      <c r="BF16" s="44">
        <v>0</v>
      </c>
      <c r="BG16" s="44">
        <v>0</v>
      </c>
      <c r="BH16" s="45">
        <v>0</v>
      </c>
      <c r="BI16" s="45">
        <v>0</v>
      </c>
      <c r="BJ16" s="44">
        <v>0</v>
      </c>
      <c r="BK16" s="45">
        <v>0</v>
      </c>
    </row>
    <row r="17" spans="2:63">
      <c r="B17" s="77"/>
      <c r="C17" s="80"/>
      <c r="D17" s="9" t="s">
        <v>8</v>
      </c>
      <c r="E17" s="10">
        <v>62.81</v>
      </c>
      <c r="F17" s="10">
        <v>62.82</v>
      </c>
      <c r="G17" s="10">
        <v>48.15</v>
      </c>
      <c r="H17" s="10">
        <v>63.25</v>
      </c>
      <c r="I17" s="10">
        <v>60.05</v>
      </c>
      <c r="J17" s="61">
        <v>49.13</v>
      </c>
      <c r="K17" s="61">
        <v>66.91</v>
      </c>
      <c r="L17" s="61">
        <v>85.16</v>
      </c>
      <c r="M17" s="61">
        <v>69.47</v>
      </c>
      <c r="N17" s="61">
        <v>54.02</v>
      </c>
      <c r="O17" s="61">
        <v>40.35</v>
      </c>
      <c r="P17" s="61">
        <v>42.42</v>
      </c>
      <c r="Q17" s="61">
        <v>79.989999999999995</v>
      </c>
      <c r="R17" s="61">
        <v>47.42</v>
      </c>
      <c r="S17" s="61">
        <v>87.54</v>
      </c>
      <c r="T17" s="61">
        <v>68.13</v>
      </c>
      <c r="U17" s="61">
        <v>42.65</v>
      </c>
      <c r="V17" s="61">
        <v>49.71</v>
      </c>
      <c r="W17" s="61">
        <v>64.89</v>
      </c>
      <c r="X17" s="61">
        <v>46.52</v>
      </c>
      <c r="Y17" s="61">
        <v>53.16</v>
      </c>
      <c r="Z17" s="61">
        <v>40.31</v>
      </c>
      <c r="AA17" s="61">
        <v>38.97</v>
      </c>
      <c r="AB17" s="61">
        <v>29.72</v>
      </c>
      <c r="AC17" s="61">
        <v>56.27</v>
      </c>
      <c r="AD17" s="61">
        <v>93.3</v>
      </c>
      <c r="AE17" s="61">
        <v>75.72</v>
      </c>
      <c r="AF17" s="61">
        <v>66.069999999999993</v>
      </c>
      <c r="AG17" s="61">
        <v>112.38</v>
      </c>
      <c r="AH17" s="61">
        <v>71.52</v>
      </c>
      <c r="AI17" s="54">
        <v>57.53</v>
      </c>
      <c r="AJ17" s="38">
        <f t="shared" si="0"/>
        <v>60.849677419354833</v>
      </c>
      <c r="AM17" s="63">
        <v>7</v>
      </c>
      <c r="AN17" s="63" t="s">
        <v>95</v>
      </c>
      <c r="AO17" s="64">
        <v>0.33333333333333331</v>
      </c>
      <c r="AP17" s="63" t="s">
        <v>92</v>
      </c>
      <c r="AQ17" s="63">
        <v>66.91</v>
      </c>
      <c r="AS17" s="46" t="s">
        <v>63</v>
      </c>
      <c r="AT17" s="44">
        <v>0</v>
      </c>
      <c r="AU17" s="44">
        <v>0</v>
      </c>
      <c r="AV17" s="45">
        <v>0</v>
      </c>
      <c r="AW17" s="45">
        <v>0</v>
      </c>
      <c r="AX17" s="44">
        <v>0</v>
      </c>
      <c r="AY17" s="44">
        <v>0</v>
      </c>
      <c r="AZ17" s="45">
        <v>0</v>
      </c>
      <c r="BA17" s="45">
        <v>0</v>
      </c>
      <c r="BB17" s="51">
        <v>0</v>
      </c>
      <c r="BC17" s="51">
        <v>0</v>
      </c>
      <c r="BD17" s="50">
        <v>0</v>
      </c>
      <c r="BE17" s="50">
        <v>0</v>
      </c>
      <c r="BF17" s="44">
        <v>0</v>
      </c>
      <c r="BG17" s="44">
        <v>0</v>
      </c>
      <c r="BH17" s="45">
        <v>0</v>
      </c>
      <c r="BI17" s="45">
        <v>0</v>
      </c>
      <c r="BJ17" s="44">
        <v>0</v>
      </c>
      <c r="BK17" s="45">
        <v>0</v>
      </c>
    </row>
    <row r="18" spans="2:63" ht="17.25" thickBot="1">
      <c r="B18" s="77"/>
      <c r="C18" s="81"/>
      <c r="D18" s="11" t="s">
        <v>10</v>
      </c>
      <c r="E18" s="12">
        <v>21.57</v>
      </c>
      <c r="F18" s="12">
        <v>24.72</v>
      </c>
      <c r="G18" s="12">
        <v>14.94</v>
      </c>
      <c r="H18" s="12">
        <v>19.64</v>
      </c>
      <c r="I18" s="12">
        <v>24.51</v>
      </c>
      <c r="J18" s="13">
        <v>24.16</v>
      </c>
      <c r="K18" s="13">
        <v>27.26</v>
      </c>
      <c r="L18" s="13">
        <v>28.25</v>
      </c>
      <c r="M18" s="13">
        <v>22.36</v>
      </c>
      <c r="N18" s="13">
        <v>25.1</v>
      </c>
      <c r="O18" s="13">
        <v>12.24</v>
      </c>
      <c r="P18" s="13">
        <v>15</v>
      </c>
      <c r="Q18" s="13">
        <v>21.65</v>
      </c>
      <c r="R18" s="13">
        <v>18.690000000000001</v>
      </c>
      <c r="S18" s="13">
        <v>20.48</v>
      </c>
      <c r="T18" s="13">
        <v>26.61</v>
      </c>
      <c r="U18" s="13">
        <v>24.66</v>
      </c>
      <c r="V18" s="13">
        <v>23.98</v>
      </c>
      <c r="W18" s="13">
        <v>24.33</v>
      </c>
      <c r="X18" s="13">
        <v>12.33</v>
      </c>
      <c r="Y18" s="13">
        <v>25.25</v>
      </c>
      <c r="Z18" s="13">
        <v>15.87</v>
      </c>
      <c r="AA18" s="13">
        <v>17.25</v>
      </c>
      <c r="AB18" s="13">
        <v>12.6</v>
      </c>
      <c r="AC18" s="13">
        <v>18.97</v>
      </c>
      <c r="AD18" s="13">
        <v>24.21</v>
      </c>
      <c r="AE18" s="13">
        <v>22.89</v>
      </c>
      <c r="AF18" s="13">
        <v>23.91</v>
      </c>
      <c r="AG18" s="13">
        <v>29.61</v>
      </c>
      <c r="AH18" s="13">
        <v>16.600000000000001</v>
      </c>
      <c r="AI18" s="55">
        <v>20.02</v>
      </c>
      <c r="AJ18" s="39">
        <f t="shared" si="0"/>
        <v>21.279354838709679</v>
      </c>
      <c r="AM18" s="63">
        <v>7</v>
      </c>
      <c r="AN18" s="63" t="s">
        <v>95</v>
      </c>
      <c r="AO18" s="64">
        <v>0.5</v>
      </c>
      <c r="AP18" s="63" t="s">
        <v>92</v>
      </c>
      <c r="AQ18" s="63">
        <v>62.65</v>
      </c>
      <c r="AS18" s="46" t="s">
        <v>64</v>
      </c>
      <c r="AT18" s="44">
        <v>0</v>
      </c>
      <c r="AU18" s="44">
        <v>0</v>
      </c>
      <c r="AV18" s="45">
        <v>0</v>
      </c>
      <c r="AW18" s="45">
        <v>0</v>
      </c>
      <c r="AX18" s="44">
        <v>0</v>
      </c>
      <c r="AY18" s="44">
        <v>0</v>
      </c>
      <c r="AZ18" s="45">
        <v>0</v>
      </c>
      <c r="BA18" s="45">
        <v>0</v>
      </c>
      <c r="BB18" s="51">
        <v>4</v>
      </c>
      <c r="BC18" s="51">
        <v>0</v>
      </c>
      <c r="BD18" s="50">
        <v>8</v>
      </c>
      <c r="BE18" s="50">
        <v>1</v>
      </c>
      <c r="BF18" s="44">
        <v>0</v>
      </c>
      <c r="BG18" s="44">
        <v>0</v>
      </c>
      <c r="BH18" s="45">
        <v>0</v>
      </c>
      <c r="BI18" s="45">
        <v>0</v>
      </c>
      <c r="BJ18" s="44">
        <v>0</v>
      </c>
      <c r="BK18" s="45">
        <v>0</v>
      </c>
    </row>
    <row r="19" spans="2:63" ht="17.25" thickTop="1">
      <c r="B19" s="77"/>
      <c r="C19" s="80" t="s">
        <v>33</v>
      </c>
      <c r="D19" s="14" t="s">
        <v>6</v>
      </c>
      <c r="E19" s="15">
        <v>3.1</v>
      </c>
      <c r="F19" s="15">
        <v>3.43</v>
      </c>
      <c r="G19" s="15">
        <v>3.29</v>
      </c>
      <c r="H19" s="15">
        <v>3.56</v>
      </c>
      <c r="I19" s="15">
        <v>4.0999999999999996</v>
      </c>
      <c r="J19" s="16">
        <v>4.3600000000000003</v>
      </c>
      <c r="K19" s="16">
        <v>9.09</v>
      </c>
      <c r="L19" s="16">
        <v>1.57</v>
      </c>
      <c r="M19" s="16">
        <v>5.13</v>
      </c>
      <c r="N19" s="16">
        <v>1.67</v>
      </c>
      <c r="O19" s="16">
        <v>1.46</v>
      </c>
      <c r="P19" s="16">
        <v>4.57</v>
      </c>
      <c r="Q19" s="16">
        <v>1.45</v>
      </c>
      <c r="R19" s="16">
        <v>3.69</v>
      </c>
      <c r="S19" s="16">
        <v>0.91</v>
      </c>
      <c r="T19" s="16">
        <v>5.45</v>
      </c>
      <c r="U19" s="16">
        <v>2.6</v>
      </c>
      <c r="V19" s="16">
        <v>5.0999999999999996</v>
      </c>
      <c r="W19" s="16">
        <v>2.0299999999999998</v>
      </c>
      <c r="X19" s="16">
        <v>1.76</v>
      </c>
      <c r="Y19" s="16">
        <v>3.84</v>
      </c>
      <c r="Z19" s="16">
        <v>7.68</v>
      </c>
      <c r="AA19" s="16">
        <v>9.4600000000000009</v>
      </c>
      <c r="AB19" s="16">
        <v>1.7</v>
      </c>
      <c r="AC19" s="16">
        <v>1.21</v>
      </c>
      <c r="AD19" s="16">
        <v>2.8</v>
      </c>
      <c r="AE19" s="16">
        <v>3.82</v>
      </c>
      <c r="AF19" s="16">
        <v>2.15</v>
      </c>
      <c r="AG19" s="16">
        <v>1.99</v>
      </c>
      <c r="AH19" s="16">
        <v>1.59</v>
      </c>
      <c r="AI19" s="54">
        <v>1.07</v>
      </c>
      <c r="AJ19" s="38">
        <f t="shared" si="0"/>
        <v>3.4074193548387095</v>
      </c>
      <c r="AM19" s="63">
        <v>7</v>
      </c>
      <c r="AN19" s="63" t="s">
        <v>96</v>
      </c>
      <c r="AO19" s="64">
        <v>0.45833333333333331</v>
      </c>
      <c r="AP19" s="63" t="s">
        <v>92</v>
      </c>
      <c r="AQ19" s="63">
        <v>112.71</v>
      </c>
      <c r="AS19" s="46" t="s">
        <v>65</v>
      </c>
      <c r="AT19" s="44">
        <v>0</v>
      </c>
      <c r="AU19" s="44">
        <v>0</v>
      </c>
      <c r="AV19" s="45">
        <v>0</v>
      </c>
      <c r="AW19" s="45">
        <v>0</v>
      </c>
      <c r="AX19" s="44">
        <v>0</v>
      </c>
      <c r="AY19" s="44">
        <v>0</v>
      </c>
      <c r="AZ19" s="45">
        <v>0</v>
      </c>
      <c r="BA19" s="45">
        <v>0</v>
      </c>
      <c r="BB19" s="44">
        <v>1</v>
      </c>
      <c r="BC19" s="44">
        <v>0</v>
      </c>
      <c r="BD19" s="45">
        <v>16</v>
      </c>
      <c r="BE19" s="45">
        <v>2</v>
      </c>
      <c r="BF19" s="44">
        <v>0</v>
      </c>
      <c r="BG19" s="44">
        <v>0</v>
      </c>
      <c r="BH19" s="45">
        <v>0</v>
      </c>
      <c r="BI19" s="45">
        <v>0</v>
      </c>
      <c r="BJ19" s="44">
        <v>0</v>
      </c>
      <c r="BK19" s="45">
        <v>0</v>
      </c>
    </row>
    <row r="20" spans="2:63">
      <c r="B20" s="77"/>
      <c r="C20" s="80"/>
      <c r="D20" s="9" t="s">
        <v>8</v>
      </c>
      <c r="E20" s="10">
        <v>55.09</v>
      </c>
      <c r="F20" s="10">
        <v>95.92</v>
      </c>
      <c r="G20" s="10">
        <v>71.03</v>
      </c>
      <c r="H20" s="10">
        <v>87.62</v>
      </c>
      <c r="I20" s="10">
        <v>136.4</v>
      </c>
      <c r="J20" s="61">
        <v>59.65</v>
      </c>
      <c r="K20" s="61">
        <v>112.71</v>
      </c>
      <c r="L20" s="61">
        <v>81.73</v>
      </c>
      <c r="M20" s="61">
        <v>98.86</v>
      </c>
      <c r="N20" s="61">
        <v>50.35</v>
      </c>
      <c r="O20" s="61">
        <v>79.38</v>
      </c>
      <c r="P20" s="61">
        <v>49.65</v>
      </c>
      <c r="Q20" s="61">
        <v>133.03</v>
      </c>
      <c r="R20" s="61">
        <v>113.39</v>
      </c>
      <c r="S20" s="61">
        <v>67.45</v>
      </c>
      <c r="T20" s="61">
        <v>73.349999999999994</v>
      </c>
      <c r="U20" s="61">
        <v>99.53</v>
      </c>
      <c r="V20" s="61">
        <v>71.540000000000006</v>
      </c>
      <c r="W20" s="61">
        <v>78.81</v>
      </c>
      <c r="X20" s="61">
        <v>81.95</v>
      </c>
      <c r="Y20" s="61">
        <v>66.680000000000007</v>
      </c>
      <c r="Z20" s="61">
        <v>68.95</v>
      </c>
      <c r="AA20" s="61">
        <v>94.24</v>
      </c>
      <c r="AB20" s="61">
        <v>71.7</v>
      </c>
      <c r="AC20" s="61">
        <v>93.51</v>
      </c>
      <c r="AD20" s="61">
        <v>114.43</v>
      </c>
      <c r="AE20" s="61">
        <v>99.52</v>
      </c>
      <c r="AF20" s="61">
        <v>82.23</v>
      </c>
      <c r="AG20" s="61">
        <v>51.2</v>
      </c>
      <c r="AH20" s="61">
        <v>73.33</v>
      </c>
      <c r="AI20" s="54">
        <v>63.79</v>
      </c>
      <c r="AJ20" s="38">
        <f t="shared" si="0"/>
        <v>83.129677419354834</v>
      </c>
      <c r="AM20" s="63">
        <v>7</v>
      </c>
      <c r="AN20" s="63" t="s">
        <v>96</v>
      </c>
      <c r="AO20" s="64">
        <v>0.54166666666666663</v>
      </c>
      <c r="AP20" s="63" t="s">
        <v>92</v>
      </c>
      <c r="AQ20" s="63">
        <v>77.239999999999995</v>
      </c>
      <c r="AS20" s="46" t="s">
        <v>66</v>
      </c>
      <c r="AT20" s="44">
        <v>0</v>
      </c>
      <c r="AU20" s="44">
        <v>0</v>
      </c>
      <c r="AV20" s="45">
        <v>0</v>
      </c>
      <c r="AW20" s="45">
        <v>0</v>
      </c>
      <c r="AX20" s="44">
        <v>0</v>
      </c>
      <c r="AY20" s="44">
        <v>0</v>
      </c>
      <c r="AZ20" s="45">
        <v>0</v>
      </c>
      <c r="BA20" s="45">
        <v>0</v>
      </c>
      <c r="BB20" s="44">
        <v>4</v>
      </c>
      <c r="BC20" s="44">
        <v>0</v>
      </c>
      <c r="BD20" s="45">
        <v>7</v>
      </c>
      <c r="BE20" s="45">
        <v>0</v>
      </c>
      <c r="BF20" s="44">
        <v>0</v>
      </c>
      <c r="BG20" s="44">
        <v>0</v>
      </c>
      <c r="BH20" s="45">
        <v>0</v>
      </c>
      <c r="BI20" s="45">
        <v>0</v>
      </c>
      <c r="BJ20" s="51">
        <v>0</v>
      </c>
      <c r="BK20" s="45">
        <v>0</v>
      </c>
    </row>
    <row r="21" spans="2:63" ht="17.25" thickBot="1">
      <c r="B21" s="78"/>
      <c r="C21" s="86"/>
      <c r="D21" s="17" t="s">
        <v>10</v>
      </c>
      <c r="E21" s="18">
        <v>26.52</v>
      </c>
      <c r="F21" s="18">
        <v>31.63</v>
      </c>
      <c r="G21" s="18">
        <v>26.13</v>
      </c>
      <c r="H21" s="18">
        <v>24.75</v>
      </c>
      <c r="I21" s="18">
        <v>28.89</v>
      </c>
      <c r="J21" s="19">
        <v>24.49</v>
      </c>
      <c r="K21" s="19">
        <v>35.72</v>
      </c>
      <c r="L21" s="19">
        <v>33.25</v>
      </c>
      <c r="M21" s="19">
        <v>32.25</v>
      </c>
      <c r="N21" s="19">
        <v>21.54</v>
      </c>
      <c r="O21" s="19">
        <v>25.13</v>
      </c>
      <c r="P21" s="19">
        <v>20.72</v>
      </c>
      <c r="Q21" s="19">
        <v>32.26</v>
      </c>
      <c r="R21" s="19">
        <v>33.53</v>
      </c>
      <c r="S21" s="19">
        <v>33.450000000000003</v>
      </c>
      <c r="T21" s="19">
        <v>36.07</v>
      </c>
      <c r="U21" s="19">
        <v>32.9</v>
      </c>
      <c r="V21" s="19">
        <v>32.630000000000003</v>
      </c>
      <c r="W21" s="19">
        <v>31.67</v>
      </c>
      <c r="X21" s="19">
        <v>32.61</v>
      </c>
      <c r="Y21" s="19">
        <v>30.45</v>
      </c>
      <c r="Z21" s="19">
        <v>29.71</v>
      </c>
      <c r="AA21" s="19">
        <v>29.36</v>
      </c>
      <c r="AB21" s="19">
        <v>28.27</v>
      </c>
      <c r="AC21" s="19">
        <v>33.64</v>
      </c>
      <c r="AD21" s="19">
        <v>28.75</v>
      </c>
      <c r="AE21" s="19">
        <v>30.14</v>
      </c>
      <c r="AF21" s="19">
        <v>31.28</v>
      </c>
      <c r="AG21" s="19">
        <v>16.940000000000001</v>
      </c>
      <c r="AH21" s="19">
        <v>22.3</v>
      </c>
      <c r="AI21" s="58">
        <v>21.78</v>
      </c>
      <c r="AJ21" s="40">
        <f t="shared" si="0"/>
        <v>28.992258064516125</v>
      </c>
      <c r="AM21" s="63">
        <v>8</v>
      </c>
      <c r="AN21" s="63" t="s">
        <v>94</v>
      </c>
      <c r="AO21" s="64">
        <v>0.45833333333333331</v>
      </c>
      <c r="AP21" s="63" t="s">
        <v>9</v>
      </c>
      <c r="AQ21" s="63">
        <v>71.599999999999994</v>
      </c>
      <c r="AS21" s="46" t="s">
        <v>67</v>
      </c>
      <c r="AT21" s="51">
        <v>0</v>
      </c>
      <c r="AU21" s="51">
        <v>0</v>
      </c>
      <c r="AV21" s="45">
        <v>0</v>
      </c>
      <c r="AW21" s="45">
        <v>0</v>
      </c>
      <c r="AX21" s="51">
        <v>1</v>
      </c>
      <c r="AY21" s="51">
        <v>0</v>
      </c>
      <c r="AZ21" s="45">
        <v>0</v>
      </c>
      <c r="BA21" s="45">
        <v>0</v>
      </c>
      <c r="BB21" s="51">
        <v>4</v>
      </c>
      <c r="BC21" s="51">
        <v>0</v>
      </c>
      <c r="BD21" s="50">
        <v>8</v>
      </c>
      <c r="BE21" s="50">
        <v>0</v>
      </c>
      <c r="BF21" s="51">
        <v>0</v>
      </c>
      <c r="BG21" s="51">
        <v>0</v>
      </c>
      <c r="BH21" s="45">
        <v>0</v>
      </c>
      <c r="BI21" s="45">
        <v>0</v>
      </c>
      <c r="BJ21" s="51">
        <v>0</v>
      </c>
      <c r="BK21" s="45">
        <v>0</v>
      </c>
    </row>
    <row r="22" spans="2:63">
      <c r="B22" s="76" t="s">
        <v>16</v>
      </c>
      <c r="C22" s="79" t="s">
        <v>34</v>
      </c>
      <c r="D22" s="5" t="s">
        <v>6</v>
      </c>
      <c r="E22" s="6">
        <v>2.25</v>
      </c>
      <c r="F22" s="6">
        <v>0.95</v>
      </c>
      <c r="G22" s="6">
        <v>3.49</v>
      </c>
      <c r="H22" s="6">
        <v>5.96</v>
      </c>
      <c r="I22" s="6">
        <v>3.57</v>
      </c>
      <c r="J22" s="7">
        <v>5.15</v>
      </c>
      <c r="K22" s="7">
        <v>2.42</v>
      </c>
      <c r="L22" s="7">
        <v>7.1</v>
      </c>
      <c r="M22" s="7">
        <v>5.52</v>
      </c>
      <c r="N22" s="7">
        <v>8.08</v>
      </c>
      <c r="O22" s="7">
        <v>7.86</v>
      </c>
      <c r="P22" s="7">
        <v>4.7699999999999996</v>
      </c>
      <c r="Q22" s="7">
        <v>4.37</v>
      </c>
      <c r="R22" s="7">
        <v>7.33</v>
      </c>
      <c r="S22" s="7">
        <v>6.7</v>
      </c>
      <c r="T22" s="7">
        <v>8.48</v>
      </c>
      <c r="U22" s="7">
        <v>8.16</v>
      </c>
      <c r="V22" s="7">
        <v>8.8699999999999992</v>
      </c>
      <c r="W22" s="7">
        <v>5.21</v>
      </c>
      <c r="X22" s="7">
        <v>4.38</v>
      </c>
      <c r="Y22" s="7">
        <v>8.82</v>
      </c>
      <c r="Z22" s="7">
        <v>9.3800000000000008</v>
      </c>
      <c r="AA22" s="7">
        <v>5.4</v>
      </c>
      <c r="AB22" s="7">
        <v>7.04</v>
      </c>
      <c r="AC22" s="7">
        <v>8.8000000000000007</v>
      </c>
      <c r="AD22" s="7">
        <v>8.74</v>
      </c>
      <c r="AE22" s="7">
        <v>7.51</v>
      </c>
      <c r="AF22" s="7">
        <v>9.6999999999999993</v>
      </c>
      <c r="AG22" s="7">
        <v>7.31</v>
      </c>
      <c r="AH22" s="7">
        <v>6.2</v>
      </c>
      <c r="AI22" s="53">
        <v>8.18</v>
      </c>
      <c r="AJ22" s="37">
        <f t="shared" si="0"/>
        <v>6.3774193548387093</v>
      </c>
      <c r="AM22" s="63">
        <v>8</v>
      </c>
      <c r="AN22" s="63" t="s">
        <v>97</v>
      </c>
      <c r="AO22" s="64">
        <v>0.5</v>
      </c>
      <c r="AP22" s="63" t="s">
        <v>92</v>
      </c>
      <c r="AQ22" s="63">
        <v>85.16</v>
      </c>
      <c r="AS22" s="46" t="s">
        <v>68</v>
      </c>
      <c r="AT22" s="51">
        <v>0</v>
      </c>
      <c r="AU22" s="51">
        <v>0</v>
      </c>
      <c r="AV22" s="45">
        <v>0</v>
      </c>
      <c r="AW22" s="45">
        <v>0</v>
      </c>
      <c r="AX22" s="51">
        <v>0</v>
      </c>
      <c r="AY22" s="51">
        <v>0</v>
      </c>
      <c r="AZ22" s="45">
        <v>0</v>
      </c>
      <c r="BA22" s="45">
        <v>0</v>
      </c>
      <c r="BB22" s="51">
        <v>0</v>
      </c>
      <c r="BC22" s="51">
        <v>0</v>
      </c>
      <c r="BD22" s="50">
        <v>15</v>
      </c>
      <c r="BE22" s="50">
        <v>1</v>
      </c>
      <c r="BF22" s="51">
        <v>0</v>
      </c>
      <c r="BG22" s="51">
        <v>0</v>
      </c>
      <c r="BH22" s="50">
        <v>0</v>
      </c>
      <c r="BI22" s="50">
        <v>0</v>
      </c>
      <c r="BJ22" s="51">
        <v>0</v>
      </c>
      <c r="BK22" s="50">
        <v>0</v>
      </c>
    </row>
    <row r="23" spans="2:63">
      <c r="B23" s="77"/>
      <c r="C23" s="80"/>
      <c r="D23" s="9" t="s">
        <v>8</v>
      </c>
      <c r="E23" s="10">
        <v>10.18</v>
      </c>
      <c r="F23" s="10">
        <v>7.2</v>
      </c>
      <c r="G23" s="10">
        <v>18.5</v>
      </c>
      <c r="H23" s="10">
        <v>19.07</v>
      </c>
      <c r="I23" s="10">
        <v>13.24</v>
      </c>
      <c r="J23" s="61">
        <v>19.809999999999999</v>
      </c>
      <c r="K23" s="61">
        <v>19.47</v>
      </c>
      <c r="L23" s="61">
        <v>16.03</v>
      </c>
      <c r="M23" s="61">
        <v>13.55</v>
      </c>
      <c r="N23" s="61">
        <v>26.74</v>
      </c>
      <c r="O23" s="61">
        <v>22.82</v>
      </c>
      <c r="P23" s="61">
        <v>19.920000000000002</v>
      </c>
      <c r="Q23" s="61">
        <v>21.83</v>
      </c>
      <c r="R23" s="61">
        <v>18.010000000000002</v>
      </c>
      <c r="S23" s="61">
        <v>18.61</v>
      </c>
      <c r="T23" s="61">
        <v>21.81</v>
      </c>
      <c r="U23" s="61">
        <v>16.420000000000002</v>
      </c>
      <c r="V23" s="61">
        <v>15.89</v>
      </c>
      <c r="W23" s="61">
        <v>18.829999999999998</v>
      </c>
      <c r="X23" s="61">
        <v>18.3</v>
      </c>
      <c r="Y23" s="61">
        <v>21.68</v>
      </c>
      <c r="Z23" s="61">
        <v>19.13</v>
      </c>
      <c r="AA23" s="61">
        <v>19.940000000000001</v>
      </c>
      <c r="AB23" s="61">
        <v>19.2</v>
      </c>
      <c r="AC23" s="61">
        <v>15.9</v>
      </c>
      <c r="AD23" s="61">
        <v>19.41</v>
      </c>
      <c r="AE23" s="61">
        <v>22.9</v>
      </c>
      <c r="AF23" s="61">
        <v>17.75</v>
      </c>
      <c r="AG23" s="61">
        <v>17.89</v>
      </c>
      <c r="AH23" s="61">
        <v>16.850000000000001</v>
      </c>
      <c r="AI23" s="54">
        <v>21.88</v>
      </c>
      <c r="AJ23" s="38">
        <f t="shared" si="0"/>
        <v>18.347096774193549</v>
      </c>
      <c r="AM23" s="63">
        <v>8</v>
      </c>
      <c r="AN23" s="63" t="s">
        <v>98</v>
      </c>
      <c r="AO23" s="64">
        <v>0.375</v>
      </c>
      <c r="AP23" s="63" t="s">
        <v>92</v>
      </c>
      <c r="AQ23" s="63">
        <v>66.930000000000007</v>
      </c>
      <c r="AS23" s="46" t="s">
        <v>69</v>
      </c>
      <c r="AT23" s="51">
        <v>0</v>
      </c>
      <c r="AU23" s="51">
        <v>0</v>
      </c>
      <c r="AV23" s="45">
        <v>0</v>
      </c>
      <c r="AW23" s="45">
        <v>0</v>
      </c>
      <c r="AX23" s="51">
        <v>0</v>
      </c>
      <c r="AY23" s="51">
        <v>0</v>
      </c>
      <c r="AZ23" s="45">
        <v>0</v>
      </c>
      <c r="BA23" s="45">
        <v>0</v>
      </c>
      <c r="BB23" s="51">
        <v>0</v>
      </c>
      <c r="BC23" s="51">
        <v>0</v>
      </c>
      <c r="BD23" s="50">
        <v>5</v>
      </c>
      <c r="BE23" s="50">
        <v>0</v>
      </c>
      <c r="BF23" s="51">
        <v>0</v>
      </c>
      <c r="BG23" s="51">
        <v>0</v>
      </c>
      <c r="BH23" s="50">
        <v>0</v>
      </c>
      <c r="BI23" s="50">
        <v>0</v>
      </c>
      <c r="BJ23" s="51">
        <v>0</v>
      </c>
      <c r="BK23" s="50">
        <v>0</v>
      </c>
    </row>
    <row r="24" spans="2:63" ht="17.25" thickBot="1">
      <c r="B24" s="77"/>
      <c r="C24" s="81"/>
      <c r="D24" s="11" t="s">
        <v>10</v>
      </c>
      <c r="E24" s="12">
        <v>5.44</v>
      </c>
      <c r="F24" s="12">
        <v>2.92</v>
      </c>
      <c r="G24" s="12">
        <v>7.29</v>
      </c>
      <c r="H24" s="12">
        <v>10.45</v>
      </c>
      <c r="I24" s="12">
        <v>5.85</v>
      </c>
      <c r="J24" s="13">
        <v>9.33</v>
      </c>
      <c r="K24" s="13">
        <v>9.4700000000000006</v>
      </c>
      <c r="L24" s="13">
        <v>12.29</v>
      </c>
      <c r="M24" s="13">
        <v>9.27</v>
      </c>
      <c r="N24" s="13">
        <v>11.46</v>
      </c>
      <c r="O24" s="13">
        <v>11.87</v>
      </c>
      <c r="P24" s="13">
        <v>9.91</v>
      </c>
      <c r="Q24" s="13">
        <v>9.51</v>
      </c>
      <c r="R24" s="13">
        <v>11.42</v>
      </c>
      <c r="S24" s="13">
        <v>12.1</v>
      </c>
      <c r="T24" s="13">
        <v>14.03</v>
      </c>
      <c r="U24" s="13">
        <v>12.13</v>
      </c>
      <c r="V24" s="13">
        <v>13.17</v>
      </c>
      <c r="W24" s="13">
        <v>12.49</v>
      </c>
      <c r="X24" s="13">
        <v>10.46</v>
      </c>
      <c r="Y24" s="13">
        <v>14.23</v>
      </c>
      <c r="Z24" s="13">
        <v>13.23</v>
      </c>
      <c r="AA24" s="13">
        <v>12.29</v>
      </c>
      <c r="AB24" s="13">
        <v>12.16</v>
      </c>
      <c r="AC24" s="13">
        <v>12.96</v>
      </c>
      <c r="AD24" s="13">
        <v>12.51</v>
      </c>
      <c r="AE24" s="13">
        <v>11.77</v>
      </c>
      <c r="AF24" s="13">
        <v>13.02</v>
      </c>
      <c r="AG24" s="13">
        <v>12.54</v>
      </c>
      <c r="AH24" s="13">
        <v>12.44</v>
      </c>
      <c r="AI24" s="55">
        <v>12.64</v>
      </c>
      <c r="AJ24" s="39">
        <f t="shared" si="0"/>
        <v>10.988709677419353</v>
      </c>
      <c r="AM24" s="63">
        <v>8</v>
      </c>
      <c r="AN24" s="63" t="s">
        <v>98</v>
      </c>
      <c r="AO24" s="64">
        <v>0.41666666666666669</v>
      </c>
      <c r="AP24" s="63" t="s">
        <v>92</v>
      </c>
      <c r="AQ24" s="63">
        <v>81.73</v>
      </c>
      <c r="AS24" s="46" t="s">
        <v>70</v>
      </c>
      <c r="AT24" s="51">
        <v>0</v>
      </c>
      <c r="AU24" s="51">
        <v>0</v>
      </c>
      <c r="AV24" s="45">
        <v>0</v>
      </c>
      <c r="AW24" s="45">
        <v>0</v>
      </c>
      <c r="AX24" s="51">
        <v>0</v>
      </c>
      <c r="AY24" s="51">
        <v>0</v>
      </c>
      <c r="AZ24" s="45">
        <v>1</v>
      </c>
      <c r="BA24" s="45">
        <v>0</v>
      </c>
      <c r="BB24" s="51">
        <v>3</v>
      </c>
      <c r="BC24" s="51">
        <v>0</v>
      </c>
      <c r="BD24" s="50">
        <v>10</v>
      </c>
      <c r="BE24" s="50">
        <v>0</v>
      </c>
      <c r="BF24" s="51">
        <v>0</v>
      </c>
      <c r="BG24" s="51">
        <v>0</v>
      </c>
      <c r="BH24" s="50">
        <v>1</v>
      </c>
      <c r="BI24" s="50">
        <v>0</v>
      </c>
      <c r="BJ24" s="51">
        <v>0</v>
      </c>
      <c r="BK24" s="50">
        <v>0</v>
      </c>
    </row>
    <row r="25" spans="2:63" ht="17.25" thickTop="1">
      <c r="B25" s="77"/>
      <c r="C25" s="80" t="s">
        <v>33</v>
      </c>
      <c r="D25" s="14" t="s">
        <v>6</v>
      </c>
      <c r="E25" s="15">
        <v>6.73</v>
      </c>
      <c r="F25" s="15">
        <v>4.18</v>
      </c>
      <c r="G25" s="15">
        <v>6.62</v>
      </c>
      <c r="H25" s="15">
        <v>8.8000000000000007</v>
      </c>
      <c r="I25" s="15">
        <v>5.68</v>
      </c>
      <c r="J25" s="16">
        <v>4.7</v>
      </c>
      <c r="K25" s="16">
        <v>6.83</v>
      </c>
      <c r="L25" s="16">
        <v>6.72</v>
      </c>
      <c r="M25" s="16">
        <v>6.5</v>
      </c>
      <c r="N25" s="16">
        <v>3.73</v>
      </c>
      <c r="O25" s="16">
        <v>6.35</v>
      </c>
      <c r="P25" s="16">
        <v>4.13</v>
      </c>
      <c r="Q25" s="16">
        <v>4.6100000000000003</v>
      </c>
      <c r="R25" s="16">
        <v>6.79</v>
      </c>
      <c r="S25" s="16">
        <v>6.4</v>
      </c>
      <c r="T25" s="16">
        <v>7.76</v>
      </c>
      <c r="U25" s="16">
        <v>7.8</v>
      </c>
      <c r="V25" s="16">
        <v>9.4499999999999993</v>
      </c>
      <c r="W25" s="16">
        <v>7.35</v>
      </c>
      <c r="X25" s="16">
        <v>9.56</v>
      </c>
      <c r="Y25" s="16">
        <v>8.89</v>
      </c>
      <c r="Z25" s="16">
        <v>9.93</v>
      </c>
      <c r="AA25" s="16">
        <v>7.41</v>
      </c>
      <c r="AB25" s="16">
        <v>7.21</v>
      </c>
      <c r="AC25" s="16">
        <v>11.77</v>
      </c>
      <c r="AD25" s="16">
        <v>9.67</v>
      </c>
      <c r="AE25" s="16">
        <v>6.82</v>
      </c>
      <c r="AF25" s="16">
        <v>7.82</v>
      </c>
      <c r="AG25" s="16">
        <v>7.39</v>
      </c>
      <c r="AH25" s="16">
        <v>4.59</v>
      </c>
      <c r="AI25" s="54">
        <v>3.77</v>
      </c>
      <c r="AJ25" s="38">
        <f t="shared" si="0"/>
        <v>6.9664516129032252</v>
      </c>
      <c r="AM25" s="63">
        <v>8</v>
      </c>
      <c r="AN25" s="63" t="s">
        <v>98</v>
      </c>
      <c r="AO25" s="64">
        <v>0.5</v>
      </c>
      <c r="AP25" s="63" t="s">
        <v>92</v>
      </c>
      <c r="AQ25" s="63">
        <v>61.93</v>
      </c>
      <c r="AS25" s="46" t="s">
        <v>71</v>
      </c>
      <c r="AT25" s="51">
        <v>0</v>
      </c>
      <c r="AU25" s="51">
        <v>0</v>
      </c>
      <c r="AV25" s="45">
        <v>0</v>
      </c>
      <c r="AW25" s="45">
        <v>0</v>
      </c>
      <c r="AX25" s="51">
        <v>0</v>
      </c>
      <c r="AY25" s="51">
        <v>0</v>
      </c>
      <c r="AZ25" s="45">
        <v>0</v>
      </c>
      <c r="BA25" s="45">
        <v>0</v>
      </c>
      <c r="BB25" s="51">
        <v>0</v>
      </c>
      <c r="BC25" s="51">
        <v>0</v>
      </c>
      <c r="BD25" s="50">
        <v>13</v>
      </c>
      <c r="BE25" s="50">
        <v>0</v>
      </c>
      <c r="BF25" s="51">
        <v>0</v>
      </c>
      <c r="BG25" s="51">
        <v>0</v>
      </c>
      <c r="BH25" s="50">
        <v>0</v>
      </c>
      <c r="BI25" s="50">
        <v>0</v>
      </c>
      <c r="BJ25" s="51">
        <v>0</v>
      </c>
      <c r="BK25" s="50">
        <v>0</v>
      </c>
    </row>
    <row r="26" spans="2:63">
      <c r="B26" s="77"/>
      <c r="C26" s="80"/>
      <c r="D26" s="9" t="s">
        <v>8</v>
      </c>
      <c r="E26" s="10">
        <v>11.37</v>
      </c>
      <c r="F26" s="10">
        <v>8.0500000000000007</v>
      </c>
      <c r="G26" s="10">
        <v>12.16</v>
      </c>
      <c r="H26" s="10">
        <v>33</v>
      </c>
      <c r="I26" s="10">
        <v>14.94</v>
      </c>
      <c r="J26" s="61">
        <v>19.22</v>
      </c>
      <c r="K26" s="61">
        <v>16.95</v>
      </c>
      <c r="L26" s="61">
        <v>16.579999999999998</v>
      </c>
      <c r="M26" s="61">
        <v>14.31</v>
      </c>
      <c r="N26" s="61">
        <v>12.72</v>
      </c>
      <c r="O26" s="61">
        <v>16.84</v>
      </c>
      <c r="P26" s="61">
        <v>20.53</v>
      </c>
      <c r="Q26" s="61">
        <v>10.33</v>
      </c>
      <c r="R26" s="61">
        <v>19.75</v>
      </c>
      <c r="S26" s="61">
        <v>17.13</v>
      </c>
      <c r="T26" s="61">
        <v>21.11</v>
      </c>
      <c r="U26" s="61">
        <v>16.829999999999998</v>
      </c>
      <c r="V26" s="61">
        <v>19.13</v>
      </c>
      <c r="W26" s="61">
        <v>36.869999999999997</v>
      </c>
      <c r="X26" s="61">
        <v>20.9</v>
      </c>
      <c r="Y26" s="61">
        <v>82.28</v>
      </c>
      <c r="Z26" s="61">
        <v>19.91</v>
      </c>
      <c r="AA26" s="61">
        <v>23.56</v>
      </c>
      <c r="AB26" s="61">
        <v>22.39</v>
      </c>
      <c r="AC26" s="61">
        <v>18.600000000000001</v>
      </c>
      <c r="AD26" s="61">
        <v>15.17</v>
      </c>
      <c r="AE26" s="61">
        <v>19.36</v>
      </c>
      <c r="AF26" s="61">
        <v>19.809999999999999</v>
      </c>
      <c r="AG26" s="61">
        <v>18.940000000000001</v>
      </c>
      <c r="AH26" s="61">
        <v>17.559999999999999</v>
      </c>
      <c r="AI26" s="54">
        <v>20.64</v>
      </c>
      <c r="AJ26" s="38">
        <f t="shared" si="0"/>
        <v>20.546451612903223</v>
      </c>
      <c r="AM26" s="63">
        <v>8</v>
      </c>
      <c r="AN26" s="63" t="s">
        <v>98</v>
      </c>
      <c r="AO26" s="64">
        <v>0.58333333333333337</v>
      </c>
      <c r="AP26" s="63" t="s">
        <v>92</v>
      </c>
      <c r="AQ26" s="63">
        <v>61.07</v>
      </c>
      <c r="AS26" s="46" t="s">
        <v>72</v>
      </c>
      <c r="AT26" s="51">
        <v>0</v>
      </c>
      <c r="AU26" s="51">
        <v>0</v>
      </c>
      <c r="AV26" s="45">
        <v>0</v>
      </c>
      <c r="AW26" s="45">
        <v>0</v>
      </c>
      <c r="AX26" s="51">
        <v>0</v>
      </c>
      <c r="AY26" s="51">
        <v>0</v>
      </c>
      <c r="AZ26" s="45">
        <v>1</v>
      </c>
      <c r="BA26" s="45">
        <v>0</v>
      </c>
      <c r="BB26" s="51">
        <v>0</v>
      </c>
      <c r="BC26" s="51">
        <v>0</v>
      </c>
      <c r="BD26" s="50">
        <v>10</v>
      </c>
      <c r="BE26" s="50">
        <v>0</v>
      </c>
      <c r="BF26" s="51">
        <v>0</v>
      </c>
      <c r="BG26" s="51">
        <v>0</v>
      </c>
      <c r="BH26" s="45">
        <v>0</v>
      </c>
      <c r="BI26" s="45">
        <v>1</v>
      </c>
      <c r="BJ26" s="51">
        <v>0</v>
      </c>
      <c r="BK26" s="45">
        <v>0</v>
      </c>
    </row>
    <row r="27" spans="2:63" ht="17.25" thickBot="1">
      <c r="B27" s="78"/>
      <c r="C27" s="86"/>
      <c r="D27" s="17" t="s">
        <v>10</v>
      </c>
      <c r="E27" s="18">
        <v>8.85</v>
      </c>
      <c r="F27" s="18">
        <v>6.22</v>
      </c>
      <c r="G27" s="18">
        <v>9.17</v>
      </c>
      <c r="H27" s="18">
        <v>14.63</v>
      </c>
      <c r="I27" s="18">
        <v>10.16</v>
      </c>
      <c r="J27" s="19">
        <v>9.57</v>
      </c>
      <c r="K27" s="19">
        <v>11.9</v>
      </c>
      <c r="L27" s="19">
        <v>12.17</v>
      </c>
      <c r="M27" s="19">
        <v>10.56</v>
      </c>
      <c r="N27" s="19">
        <v>9.5500000000000007</v>
      </c>
      <c r="O27" s="19">
        <v>11.84</v>
      </c>
      <c r="P27" s="19">
        <v>8.8800000000000008</v>
      </c>
      <c r="Q27" s="19">
        <v>6.42</v>
      </c>
      <c r="R27" s="19">
        <v>11.22</v>
      </c>
      <c r="S27" s="19">
        <v>11.23</v>
      </c>
      <c r="T27" s="19">
        <v>12.26</v>
      </c>
      <c r="U27" s="19">
        <v>12.31</v>
      </c>
      <c r="V27" s="19">
        <v>13.36</v>
      </c>
      <c r="W27" s="19">
        <v>15.25</v>
      </c>
      <c r="X27" s="19">
        <v>14.75</v>
      </c>
      <c r="Y27" s="19">
        <v>19.72</v>
      </c>
      <c r="Z27" s="19">
        <v>15.16</v>
      </c>
      <c r="AA27" s="19">
        <v>13.31</v>
      </c>
      <c r="AB27" s="19">
        <v>14.48</v>
      </c>
      <c r="AC27" s="19">
        <v>15.13</v>
      </c>
      <c r="AD27" s="19">
        <v>11.95</v>
      </c>
      <c r="AE27" s="19">
        <v>11.63</v>
      </c>
      <c r="AF27" s="19">
        <v>13.31</v>
      </c>
      <c r="AG27" s="19">
        <v>11.63</v>
      </c>
      <c r="AH27" s="19">
        <v>11.35</v>
      </c>
      <c r="AI27" s="56">
        <v>10.67</v>
      </c>
      <c r="AJ27" s="35">
        <f t="shared" si="0"/>
        <v>11.891612903225806</v>
      </c>
      <c r="AM27" s="63">
        <v>9</v>
      </c>
      <c r="AN27" s="63" t="s">
        <v>99</v>
      </c>
      <c r="AO27" s="64">
        <v>0.79166666666666663</v>
      </c>
      <c r="AP27" s="63" t="s">
        <v>92</v>
      </c>
      <c r="AQ27" s="63">
        <v>69.47</v>
      </c>
      <c r="AS27" s="46" t="s">
        <v>73</v>
      </c>
      <c r="AT27" s="51">
        <v>0</v>
      </c>
      <c r="AU27" s="51">
        <v>0</v>
      </c>
      <c r="AV27" s="45">
        <v>0</v>
      </c>
      <c r="AW27" s="45">
        <v>0</v>
      </c>
      <c r="AX27" s="51">
        <v>0</v>
      </c>
      <c r="AY27" s="51">
        <v>0</v>
      </c>
      <c r="AZ27" s="45">
        <v>0</v>
      </c>
      <c r="BA27" s="45">
        <v>0</v>
      </c>
      <c r="BB27" s="51">
        <v>0</v>
      </c>
      <c r="BC27" s="51">
        <v>0</v>
      </c>
      <c r="BD27" s="50">
        <v>5</v>
      </c>
      <c r="BE27" s="50">
        <v>0</v>
      </c>
      <c r="BF27" s="51">
        <v>0</v>
      </c>
      <c r="BG27" s="51">
        <v>0</v>
      </c>
      <c r="BH27" s="45">
        <v>0</v>
      </c>
      <c r="BI27" s="45">
        <v>0</v>
      </c>
      <c r="BJ27" s="51">
        <v>0</v>
      </c>
      <c r="BK27" s="45">
        <v>0</v>
      </c>
    </row>
    <row r="28" spans="2:63">
      <c r="B28" s="93" t="s">
        <v>17</v>
      </c>
      <c r="C28" s="79" t="s">
        <v>34</v>
      </c>
      <c r="D28" s="14" t="s">
        <v>6</v>
      </c>
      <c r="E28" s="15">
        <v>2.2400000000000002</v>
      </c>
      <c r="F28" s="15">
        <v>2.16</v>
      </c>
      <c r="G28" s="15">
        <v>2.2400000000000002</v>
      </c>
      <c r="H28" s="15">
        <v>2.12</v>
      </c>
      <c r="I28" s="15">
        <v>1.94</v>
      </c>
      <c r="J28" s="16">
        <v>2.12</v>
      </c>
      <c r="K28" s="16">
        <v>2.0299999999999998</v>
      </c>
      <c r="L28" s="15">
        <v>1.78</v>
      </c>
      <c r="M28" s="15">
        <v>1.69</v>
      </c>
      <c r="N28" s="15">
        <v>1.66</v>
      </c>
      <c r="O28" s="15">
        <v>1.71</v>
      </c>
      <c r="P28" s="15">
        <v>1.84</v>
      </c>
      <c r="Q28" s="7">
        <v>1.56</v>
      </c>
      <c r="R28" s="16">
        <v>1.5</v>
      </c>
      <c r="S28" s="16">
        <v>1.6</v>
      </c>
      <c r="T28" s="7">
        <v>1.61</v>
      </c>
      <c r="U28" s="7">
        <v>1.53</v>
      </c>
      <c r="V28" s="7">
        <v>1.7</v>
      </c>
      <c r="W28" s="7">
        <v>1.37</v>
      </c>
      <c r="X28" s="7">
        <v>1.49</v>
      </c>
      <c r="Y28" s="7">
        <v>1.39</v>
      </c>
      <c r="Z28" s="7">
        <v>1.54</v>
      </c>
      <c r="AA28" s="7">
        <v>1.38</v>
      </c>
      <c r="AB28" s="7">
        <v>1.52</v>
      </c>
      <c r="AC28" s="7">
        <v>1.4</v>
      </c>
      <c r="AD28" s="7"/>
      <c r="AE28" s="7"/>
      <c r="AF28" s="7"/>
      <c r="AG28" s="16"/>
      <c r="AH28" s="16"/>
      <c r="AI28" s="54"/>
      <c r="AJ28" s="38">
        <f t="shared" ref="AJ28:AJ33" si="1">AVERAGE(E28:AI28)</f>
        <v>1.7248000000000001</v>
      </c>
      <c r="AM28" s="63">
        <v>9</v>
      </c>
      <c r="AN28" s="63" t="s">
        <v>100</v>
      </c>
      <c r="AO28" s="64">
        <v>0.41666666666666669</v>
      </c>
      <c r="AP28" s="63" t="s">
        <v>92</v>
      </c>
      <c r="AQ28" s="63">
        <v>98.86</v>
      </c>
      <c r="AS28" s="46" t="s">
        <v>74</v>
      </c>
      <c r="AT28" s="51">
        <v>0</v>
      </c>
      <c r="AU28" s="51">
        <v>0</v>
      </c>
      <c r="AV28" s="45">
        <v>0</v>
      </c>
      <c r="AW28" s="45">
        <v>0</v>
      </c>
      <c r="AX28" s="51">
        <v>0</v>
      </c>
      <c r="AY28" s="60">
        <v>0</v>
      </c>
      <c r="AZ28" s="45">
        <v>0</v>
      </c>
      <c r="BA28" s="45">
        <v>0</v>
      </c>
      <c r="BB28" s="51">
        <v>0</v>
      </c>
      <c r="BC28" s="51">
        <v>0</v>
      </c>
      <c r="BD28" s="50">
        <v>6</v>
      </c>
      <c r="BE28" s="50">
        <v>0</v>
      </c>
      <c r="BF28" s="51">
        <v>0</v>
      </c>
      <c r="BG28" s="51">
        <v>0</v>
      </c>
      <c r="BH28" s="45">
        <v>0</v>
      </c>
      <c r="BI28" s="45">
        <v>0</v>
      </c>
      <c r="BJ28" s="51">
        <v>0</v>
      </c>
      <c r="BK28" s="45">
        <v>0</v>
      </c>
    </row>
    <row r="29" spans="2:63">
      <c r="B29" s="77"/>
      <c r="C29" s="80"/>
      <c r="D29" s="9" t="s">
        <v>8</v>
      </c>
      <c r="E29" s="10">
        <v>4.4000000000000004</v>
      </c>
      <c r="F29" s="10">
        <v>6.47</v>
      </c>
      <c r="G29" s="10">
        <v>5.34</v>
      </c>
      <c r="H29" s="10">
        <v>3.78</v>
      </c>
      <c r="I29" s="10">
        <v>3.3</v>
      </c>
      <c r="J29" s="61">
        <v>4.3899999999999997</v>
      </c>
      <c r="K29" s="61">
        <v>4.68</v>
      </c>
      <c r="L29" s="10">
        <v>4.67</v>
      </c>
      <c r="M29" s="10">
        <v>3.11</v>
      </c>
      <c r="N29" s="10">
        <v>4.13</v>
      </c>
      <c r="O29" s="10">
        <v>3.33</v>
      </c>
      <c r="P29" s="10">
        <v>3.63</v>
      </c>
      <c r="Q29" s="61">
        <v>3.04</v>
      </c>
      <c r="R29" s="61">
        <v>2.78</v>
      </c>
      <c r="S29" s="61">
        <v>11.75</v>
      </c>
      <c r="T29" s="61">
        <v>4.1900000000000004</v>
      </c>
      <c r="U29" s="61">
        <v>2.59</v>
      </c>
      <c r="V29" s="61">
        <v>2.75</v>
      </c>
      <c r="W29" s="61">
        <v>2.9</v>
      </c>
      <c r="X29" s="61">
        <v>3.13</v>
      </c>
      <c r="Y29" s="61">
        <v>2.58</v>
      </c>
      <c r="Z29" s="61">
        <v>3.09</v>
      </c>
      <c r="AA29" s="61">
        <v>3.38</v>
      </c>
      <c r="AB29" s="61">
        <v>2.69</v>
      </c>
      <c r="AC29" s="61">
        <v>2.41</v>
      </c>
      <c r="AD29" s="61"/>
      <c r="AE29" s="61"/>
      <c r="AF29" s="61"/>
      <c r="AG29" s="61"/>
      <c r="AH29" s="61"/>
      <c r="AI29" s="54"/>
      <c r="AJ29" s="38">
        <f t="shared" si="1"/>
        <v>3.9404000000000003</v>
      </c>
      <c r="AM29" s="63">
        <v>9</v>
      </c>
      <c r="AN29" s="63" t="s">
        <v>100</v>
      </c>
      <c r="AO29" s="64">
        <v>0.45833333333333331</v>
      </c>
      <c r="AP29" s="63" t="s">
        <v>92</v>
      </c>
      <c r="AQ29" s="63">
        <v>65.83</v>
      </c>
      <c r="AS29" s="46" t="s">
        <v>75</v>
      </c>
      <c r="AT29" s="51">
        <v>0</v>
      </c>
      <c r="AU29" s="51">
        <v>0</v>
      </c>
      <c r="AV29" s="45">
        <v>0</v>
      </c>
      <c r="AW29" s="45">
        <v>0</v>
      </c>
      <c r="AX29" s="51">
        <v>0</v>
      </c>
      <c r="AY29" s="51">
        <v>0</v>
      </c>
      <c r="AZ29" s="45">
        <v>0</v>
      </c>
      <c r="BA29" s="45">
        <v>0</v>
      </c>
      <c r="BB29" s="51">
        <v>0</v>
      </c>
      <c r="BC29" s="51">
        <v>0</v>
      </c>
      <c r="BD29" s="50">
        <v>7</v>
      </c>
      <c r="BE29" s="50">
        <v>0</v>
      </c>
      <c r="BF29" s="51">
        <v>0</v>
      </c>
      <c r="BG29" s="51">
        <v>0</v>
      </c>
      <c r="BH29" s="45">
        <v>0</v>
      </c>
      <c r="BI29" s="45">
        <v>0</v>
      </c>
      <c r="BJ29" s="51">
        <v>0</v>
      </c>
      <c r="BK29" s="45">
        <v>0</v>
      </c>
    </row>
    <row r="30" spans="2:63" ht="17.25" thickBot="1">
      <c r="B30" s="77"/>
      <c r="C30" s="81"/>
      <c r="D30" s="11" t="s">
        <v>10</v>
      </c>
      <c r="E30" s="12">
        <v>3</v>
      </c>
      <c r="F30" s="12">
        <v>2.97</v>
      </c>
      <c r="G30" s="12">
        <v>2.8</v>
      </c>
      <c r="H30" s="12">
        <v>2.6</v>
      </c>
      <c r="I30" s="12">
        <v>2.54</v>
      </c>
      <c r="J30" s="13">
        <v>2.67</v>
      </c>
      <c r="K30" s="13">
        <v>2.67</v>
      </c>
      <c r="L30" s="12">
        <v>2.3199999999999998</v>
      </c>
      <c r="M30" s="12">
        <v>2.15</v>
      </c>
      <c r="N30" s="12">
        <v>2.11</v>
      </c>
      <c r="O30" s="12">
        <v>2.2000000000000002</v>
      </c>
      <c r="P30" s="12">
        <v>2.35</v>
      </c>
      <c r="Q30" s="13">
        <v>2.09</v>
      </c>
      <c r="R30" s="13">
        <v>1.93</v>
      </c>
      <c r="S30" s="13">
        <v>2.04</v>
      </c>
      <c r="T30" s="13">
        <v>1.98</v>
      </c>
      <c r="U30" s="13">
        <v>1.94</v>
      </c>
      <c r="V30" s="13">
        <v>2.02</v>
      </c>
      <c r="W30" s="13">
        <v>1.91</v>
      </c>
      <c r="X30" s="13">
        <v>1.83</v>
      </c>
      <c r="Y30" s="13">
        <v>1.83</v>
      </c>
      <c r="Z30" s="13">
        <v>1.86</v>
      </c>
      <c r="AA30" s="13">
        <v>1.88</v>
      </c>
      <c r="AB30" s="13">
        <v>1.77</v>
      </c>
      <c r="AC30" s="13">
        <v>1.78</v>
      </c>
      <c r="AD30" s="13"/>
      <c r="AE30" s="13"/>
      <c r="AF30" s="13"/>
      <c r="AG30" s="13"/>
      <c r="AH30" s="13"/>
      <c r="AI30" s="59"/>
      <c r="AJ30" s="36">
        <f t="shared" si="1"/>
        <v>2.2096</v>
      </c>
      <c r="AM30" s="63">
        <v>9</v>
      </c>
      <c r="AN30" s="63" t="s">
        <v>100</v>
      </c>
      <c r="AO30" s="64">
        <v>0.625</v>
      </c>
      <c r="AP30" s="63" t="s">
        <v>92</v>
      </c>
      <c r="AQ30" s="63">
        <v>66.599999999999994</v>
      </c>
      <c r="AS30" s="46" t="s">
        <v>76</v>
      </c>
      <c r="AT30" s="51">
        <v>0</v>
      </c>
      <c r="AU30" s="51">
        <v>0</v>
      </c>
      <c r="AV30" s="45">
        <v>0</v>
      </c>
      <c r="AW30" s="45">
        <v>0</v>
      </c>
      <c r="AX30" s="51">
        <v>0</v>
      </c>
      <c r="AY30" s="51">
        <v>0</v>
      </c>
      <c r="AZ30" s="45">
        <v>0</v>
      </c>
      <c r="BA30" s="45">
        <v>0</v>
      </c>
      <c r="BB30" s="51">
        <v>0</v>
      </c>
      <c r="BC30" s="51">
        <v>0</v>
      </c>
      <c r="BD30" s="50">
        <v>12</v>
      </c>
      <c r="BE30" s="50">
        <v>0</v>
      </c>
      <c r="BF30" s="51">
        <v>0</v>
      </c>
      <c r="BG30" s="51">
        <v>0</v>
      </c>
      <c r="BH30" s="45">
        <v>0</v>
      </c>
      <c r="BI30" s="45">
        <v>0</v>
      </c>
      <c r="BJ30" s="51">
        <v>0</v>
      </c>
      <c r="BK30" s="45">
        <v>0</v>
      </c>
    </row>
    <row r="31" spans="2:63" ht="17.25" thickTop="1">
      <c r="B31" s="77"/>
      <c r="C31" s="80" t="s">
        <v>33</v>
      </c>
      <c r="D31" s="14" t="s">
        <v>6</v>
      </c>
      <c r="E31" s="22">
        <v>1.79</v>
      </c>
      <c r="F31" s="22">
        <v>1.71</v>
      </c>
      <c r="G31" s="22">
        <v>1.75</v>
      </c>
      <c r="H31" s="22">
        <v>1.63</v>
      </c>
      <c r="I31" s="22">
        <v>1.65</v>
      </c>
      <c r="J31" s="23">
        <v>1.62</v>
      </c>
      <c r="K31" s="23">
        <v>1.65</v>
      </c>
      <c r="L31" s="22">
        <v>1.7</v>
      </c>
      <c r="M31" s="22">
        <v>1.6</v>
      </c>
      <c r="N31" s="22">
        <v>1.71</v>
      </c>
      <c r="O31" s="22">
        <v>1.72</v>
      </c>
      <c r="P31" s="22">
        <v>1.66</v>
      </c>
      <c r="Q31" s="23">
        <v>1.8</v>
      </c>
      <c r="R31" s="23">
        <v>1.75</v>
      </c>
      <c r="S31" s="23">
        <v>1.46</v>
      </c>
      <c r="T31" s="23">
        <v>1.47</v>
      </c>
      <c r="U31" s="16">
        <v>1.46</v>
      </c>
      <c r="V31" s="16">
        <v>1.54</v>
      </c>
      <c r="W31" s="16">
        <v>1.44</v>
      </c>
      <c r="X31" s="16">
        <v>1.44</v>
      </c>
      <c r="Y31" s="23">
        <v>1.36</v>
      </c>
      <c r="Z31" s="23">
        <v>1.43</v>
      </c>
      <c r="AA31" s="23">
        <v>1.38</v>
      </c>
      <c r="AB31" s="23">
        <v>1.47</v>
      </c>
      <c r="AC31" s="23">
        <v>1.52</v>
      </c>
      <c r="AD31" s="23"/>
      <c r="AE31" s="23"/>
      <c r="AF31" s="23"/>
      <c r="AG31" s="23"/>
      <c r="AH31" s="16"/>
      <c r="AI31" s="54"/>
      <c r="AJ31" s="38">
        <f t="shared" si="1"/>
        <v>1.5884</v>
      </c>
      <c r="AM31" s="63">
        <v>11</v>
      </c>
      <c r="AN31" s="63" t="s">
        <v>100</v>
      </c>
      <c r="AO31" s="64">
        <v>0.41666666666666669</v>
      </c>
      <c r="AP31" s="63" t="s">
        <v>92</v>
      </c>
      <c r="AQ31" s="63">
        <v>79.38</v>
      </c>
      <c r="AS31" s="46" t="s">
        <v>77</v>
      </c>
      <c r="AT31" s="51">
        <v>0</v>
      </c>
      <c r="AU31" s="51">
        <v>0</v>
      </c>
      <c r="AV31" s="45">
        <v>0</v>
      </c>
      <c r="AW31" s="45">
        <v>0</v>
      </c>
      <c r="AX31" s="51">
        <v>0</v>
      </c>
      <c r="AY31" s="51">
        <v>0</v>
      </c>
      <c r="AZ31" s="45">
        <v>0</v>
      </c>
      <c r="BA31" s="45">
        <v>0</v>
      </c>
      <c r="BB31" s="51"/>
      <c r="BC31" s="51"/>
      <c r="BD31" s="50"/>
      <c r="BE31" s="50"/>
      <c r="BF31" s="51">
        <v>0</v>
      </c>
      <c r="BG31" s="51">
        <v>0</v>
      </c>
      <c r="BH31" s="45">
        <v>0</v>
      </c>
      <c r="BI31" s="45">
        <v>0</v>
      </c>
      <c r="BJ31" s="51"/>
      <c r="BK31" s="45"/>
    </row>
    <row r="32" spans="2:63">
      <c r="B32" s="77"/>
      <c r="C32" s="80"/>
      <c r="D32" s="9" t="s">
        <v>8</v>
      </c>
      <c r="E32" s="10">
        <v>2.67</v>
      </c>
      <c r="F32" s="10">
        <v>2.76</v>
      </c>
      <c r="G32" s="10">
        <v>2.54</v>
      </c>
      <c r="H32" s="10">
        <v>2.56</v>
      </c>
      <c r="I32" s="10">
        <v>2.54</v>
      </c>
      <c r="J32" s="61">
        <v>2.5</v>
      </c>
      <c r="K32" s="61">
        <v>2.66</v>
      </c>
      <c r="L32" s="10">
        <v>2.88</v>
      </c>
      <c r="M32" s="10">
        <v>2.5099999999999998</v>
      </c>
      <c r="N32" s="10">
        <v>2.5499999999999998</v>
      </c>
      <c r="O32" s="10">
        <v>3.02</v>
      </c>
      <c r="P32" s="10">
        <v>2.66</v>
      </c>
      <c r="Q32" s="61">
        <v>3.01</v>
      </c>
      <c r="R32" s="61">
        <v>3.77</v>
      </c>
      <c r="S32" s="61">
        <v>12.65</v>
      </c>
      <c r="T32" s="61">
        <v>2.3199999999999998</v>
      </c>
      <c r="U32" s="61">
        <v>2.74</v>
      </c>
      <c r="V32" s="61">
        <v>7.78</v>
      </c>
      <c r="W32" s="61">
        <v>2.73</v>
      </c>
      <c r="X32" s="61">
        <v>2.36</v>
      </c>
      <c r="Y32" s="61">
        <v>2.67</v>
      </c>
      <c r="Z32" s="61">
        <v>2.95</v>
      </c>
      <c r="AA32" s="61">
        <v>2.84</v>
      </c>
      <c r="AB32" s="61">
        <v>2.92</v>
      </c>
      <c r="AC32" s="61">
        <v>4.72</v>
      </c>
      <c r="AD32" s="61"/>
      <c r="AE32" s="61"/>
      <c r="AF32" s="61"/>
      <c r="AG32" s="61"/>
      <c r="AH32" s="61"/>
      <c r="AI32" s="54"/>
      <c r="AJ32" s="38">
        <f t="shared" si="1"/>
        <v>3.4124000000000008</v>
      </c>
      <c r="AM32" s="63">
        <v>13</v>
      </c>
      <c r="AN32" s="63" t="s">
        <v>101</v>
      </c>
      <c r="AO32" s="64">
        <v>0.29166666666666669</v>
      </c>
      <c r="AP32" s="63" t="s">
        <v>92</v>
      </c>
      <c r="AQ32" s="63">
        <v>79.989999999999995</v>
      </c>
      <c r="AS32" s="46" t="s">
        <v>78</v>
      </c>
      <c r="AT32" s="51">
        <v>0</v>
      </c>
      <c r="AU32" s="51">
        <v>0</v>
      </c>
      <c r="AV32" s="45">
        <v>0</v>
      </c>
      <c r="AW32" s="45">
        <v>0</v>
      </c>
      <c r="AX32" s="51">
        <v>0</v>
      </c>
      <c r="AY32" s="51">
        <v>0</v>
      </c>
      <c r="AZ32" s="45">
        <v>0</v>
      </c>
      <c r="BA32" s="45">
        <v>0</v>
      </c>
      <c r="BB32" s="51"/>
      <c r="BC32" s="51"/>
      <c r="BD32" s="50"/>
      <c r="BE32" s="50"/>
      <c r="BF32" s="51">
        <v>0</v>
      </c>
      <c r="BG32" s="51">
        <v>0</v>
      </c>
      <c r="BH32" s="45">
        <v>0</v>
      </c>
      <c r="BI32" s="45">
        <v>0</v>
      </c>
      <c r="BJ32" s="51"/>
      <c r="BK32" s="45"/>
    </row>
    <row r="33" spans="1:63" ht="17.25" thickBot="1">
      <c r="B33" s="78"/>
      <c r="C33" s="86"/>
      <c r="D33" s="17" t="s">
        <v>10</v>
      </c>
      <c r="E33" s="18">
        <v>2.0299999999999998</v>
      </c>
      <c r="F33" s="18">
        <v>1.96</v>
      </c>
      <c r="G33" s="18">
        <v>1.95</v>
      </c>
      <c r="H33" s="18">
        <v>1.89</v>
      </c>
      <c r="I33" s="18">
        <v>1.92</v>
      </c>
      <c r="J33" s="19">
        <v>1.9</v>
      </c>
      <c r="K33" s="19">
        <v>1.97</v>
      </c>
      <c r="L33" s="18">
        <v>1.96</v>
      </c>
      <c r="M33" s="18">
        <v>1.91</v>
      </c>
      <c r="N33" s="18">
        <v>1.95</v>
      </c>
      <c r="O33" s="18">
        <v>2.02</v>
      </c>
      <c r="P33" s="18">
        <v>2.02</v>
      </c>
      <c r="Q33" s="19">
        <v>2.0099999999999998</v>
      </c>
      <c r="R33" s="19">
        <v>2.4500000000000002</v>
      </c>
      <c r="S33" s="19">
        <v>2.46</v>
      </c>
      <c r="T33" s="19">
        <v>1.72</v>
      </c>
      <c r="U33" s="19">
        <v>1.76</v>
      </c>
      <c r="V33" s="19">
        <v>1.83</v>
      </c>
      <c r="W33" s="19">
        <v>1.77</v>
      </c>
      <c r="X33" s="19">
        <v>1.71</v>
      </c>
      <c r="Y33" s="19">
        <v>1.76</v>
      </c>
      <c r="Z33" s="19">
        <v>1.75</v>
      </c>
      <c r="AA33" s="19">
        <v>1.75</v>
      </c>
      <c r="AB33" s="19">
        <v>1.82</v>
      </c>
      <c r="AC33" s="19">
        <v>1.87</v>
      </c>
      <c r="AD33" s="19"/>
      <c r="AE33" s="19"/>
      <c r="AF33" s="19"/>
      <c r="AG33" s="19"/>
      <c r="AH33" s="19"/>
      <c r="AI33" s="56"/>
      <c r="AJ33" s="35">
        <f t="shared" si="1"/>
        <v>1.9256</v>
      </c>
      <c r="AM33" s="63">
        <v>13</v>
      </c>
      <c r="AN33" s="63" t="s">
        <v>102</v>
      </c>
      <c r="AO33" s="64">
        <v>0.16666666666666666</v>
      </c>
      <c r="AP33" s="63" t="s">
        <v>92</v>
      </c>
      <c r="AQ33" s="63">
        <v>66.8</v>
      </c>
      <c r="AS33" s="46" t="s">
        <v>79</v>
      </c>
      <c r="AT33" s="51">
        <v>0</v>
      </c>
      <c r="AU33" s="51">
        <v>0</v>
      </c>
      <c r="AV33" s="45">
        <v>0</v>
      </c>
      <c r="AW33" s="45">
        <v>0</v>
      </c>
      <c r="AX33" s="51">
        <v>0</v>
      </c>
      <c r="AY33" s="51">
        <v>0</v>
      </c>
      <c r="AZ33" s="45">
        <v>0</v>
      </c>
      <c r="BA33" s="45">
        <v>0</v>
      </c>
      <c r="BB33" s="51"/>
      <c r="BC33" s="51"/>
      <c r="BD33" s="50"/>
      <c r="BE33" s="50"/>
      <c r="BF33" s="51">
        <v>0</v>
      </c>
      <c r="BG33" s="51">
        <v>0</v>
      </c>
      <c r="BH33" s="45">
        <v>0</v>
      </c>
      <c r="BI33" s="45">
        <v>0</v>
      </c>
      <c r="BJ33" s="51"/>
      <c r="BK33" s="45"/>
    </row>
    <row r="34" spans="1:63">
      <c r="B34" s="94"/>
      <c r="C34" s="24" t="s">
        <v>18</v>
      </c>
      <c r="D34" s="25" t="s">
        <v>19</v>
      </c>
      <c r="E34" s="26"/>
      <c r="F34" s="26"/>
      <c r="G34" s="26"/>
      <c r="H34" s="26"/>
      <c r="I34" s="26"/>
      <c r="J34" s="26"/>
      <c r="K34" s="27"/>
      <c r="L34" s="97"/>
      <c r="M34" s="98"/>
      <c r="N34" s="99" t="s">
        <v>20</v>
      </c>
      <c r="O34" s="99"/>
      <c r="P34" s="99" t="s">
        <v>21</v>
      </c>
      <c r="Q34" s="99"/>
      <c r="R34" s="99" t="s">
        <v>22</v>
      </c>
      <c r="S34" s="99"/>
      <c r="T34" s="99" t="s">
        <v>23</v>
      </c>
      <c r="U34" s="99"/>
      <c r="V34" s="99" t="s">
        <v>24</v>
      </c>
      <c r="W34" s="103"/>
      <c r="X34" s="104"/>
      <c r="Y34" s="105"/>
      <c r="Z34" s="105"/>
      <c r="AA34" s="105"/>
      <c r="AB34" s="105"/>
      <c r="AC34" s="105"/>
      <c r="AD34" s="105"/>
      <c r="AE34" s="105"/>
      <c r="AF34" s="105"/>
      <c r="AG34" s="105"/>
      <c r="AH34" s="105"/>
      <c r="AI34" s="105"/>
      <c r="AJ34" s="106"/>
      <c r="AM34" s="63">
        <v>13</v>
      </c>
      <c r="AN34" s="63" t="s">
        <v>33</v>
      </c>
      <c r="AO34" s="64">
        <v>0.95833333333333337</v>
      </c>
      <c r="AP34" s="63" t="s">
        <v>92</v>
      </c>
      <c r="AQ34" s="63">
        <v>133.03</v>
      </c>
      <c r="AS34" s="46" t="s">
        <v>80</v>
      </c>
      <c r="AT34" s="44">
        <v>0</v>
      </c>
      <c r="AU34" s="44">
        <v>0</v>
      </c>
      <c r="AV34" s="45">
        <v>0</v>
      </c>
      <c r="AW34" s="45">
        <v>0</v>
      </c>
      <c r="AX34" s="44">
        <v>0</v>
      </c>
      <c r="AY34" s="44">
        <v>0</v>
      </c>
      <c r="AZ34" s="45">
        <v>0</v>
      </c>
      <c r="BA34" s="45">
        <v>0</v>
      </c>
      <c r="BB34" s="44"/>
      <c r="BC34" s="44"/>
      <c r="BD34" s="45"/>
      <c r="BE34" s="45"/>
      <c r="BF34" s="44">
        <v>0</v>
      </c>
      <c r="BG34" s="44">
        <v>0</v>
      </c>
      <c r="BH34" s="45">
        <v>0</v>
      </c>
      <c r="BI34" s="45">
        <v>0</v>
      </c>
      <c r="BJ34" s="44"/>
      <c r="BK34" s="45"/>
    </row>
    <row r="35" spans="1:63">
      <c r="B35" s="95"/>
      <c r="C35" s="28"/>
      <c r="D35" s="29" t="s">
        <v>25</v>
      </c>
      <c r="E35" s="28"/>
      <c r="F35" s="28"/>
      <c r="G35" s="28"/>
      <c r="H35" s="28"/>
      <c r="I35" s="28"/>
      <c r="J35" s="28"/>
      <c r="K35" s="29"/>
      <c r="L35" s="113" t="s">
        <v>26</v>
      </c>
      <c r="M35" s="114"/>
      <c r="N35" s="115">
        <v>20</v>
      </c>
      <c r="O35" s="116"/>
      <c r="P35" s="115">
        <v>70</v>
      </c>
      <c r="Q35" s="116"/>
      <c r="R35" s="115">
        <v>60</v>
      </c>
      <c r="S35" s="116"/>
      <c r="T35" s="115">
        <v>30</v>
      </c>
      <c r="U35" s="116"/>
      <c r="V35" s="115">
        <v>10</v>
      </c>
      <c r="W35" s="117"/>
      <c r="X35" s="107"/>
      <c r="Y35" s="108"/>
      <c r="Z35" s="108"/>
      <c r="AA35" s="108"/>
      <c r="AB35" s="108"/>
      <c r="AC35" s="108"/>
      <c r="AD35" s="108"/>
      <c r="AE35" s="108"/>
      <c r="AF35" s="108"/>
      <c r="AG35" s="108"/>
      <c r="AH35" s="108"/>
      <c r="AI35" s="108"/>
      <c r="AJ35" s="109"/>
      <c r="AM35" s="63">
        <v>14</v>
      </c>
      <c r="AN35" s="63" t="s">
        <v>103</v>
      </c>
      <c r="AO35" s="64">
        <v>0.16666666666666666</v>
      </c>
      <c r="AP35" s="63" t="s">
        <v>92</v>
      </c>
      <c r="AQ35" s="63">
        <v>66.599999999999994</v>
      </c>
      <c r="AS35" s="46" t="s">
        <v>81</v>
      </c>
      <c r="AT35" s="44">
        <v>0</v>
      </c>
      <c r="AU35" s="44">
        <v>0</v>
      </c>
      <c r="AV35" s="45">
        <v>0</v>
      </c>
      <c r="AW35" s="45">
        <v>0</v>
      </c>
      <c r="AX35" s="44">
        <v>0</v>
      </c>
      <c r="AY35" s="44">
        <v>0</v>
      </c>
      <c r="AZ35" s="45">
        <v>0</v>
      </c>
      <c r="BA35" s="45">
        <v>0</v>
      </c>
      <c r="BB35" s="44"/>
      <c r="BC35" s="44"/>
      <c r="BD35" s="45"/>
      <c r="BE35" s="45"/>
      <c r="BF35" s="44">
        <v>0</v>
      </c>
      <c r="BG35" s="44">
        <v>0</v>
      </c>
      <c r="BH35" s="45">
        <v>0</v>
      </c>
      <c r="BI35" s="45">
        <v>0</v>
      </c>
      <c r="BJ35" s="44"/>
      <c r="BK35" s="45"/>
    </row>
    <row r="36" spans="1:63" ht="17.25" thickBot="1">
      <c r="B36" s="96"/>
      <c r="C36" s="30"/>
      <c r="D36" s="31" t="s">
        <v>28</v>
      </c>
      <c r="E36" s="30"/>
      <c r="F36" s="30"/>
      <c r="G36" s="30"/>
      <c r="H36" s="30"/>
      <c r="I36" s="30"/>
      <c r="J36" s="30"/>
      <c r="K36" s="31"/>
      <c r="L36" s="118" t="s">
        <v>27</v>
      </c>
      <c r="M36" s="119"/>
      <c r="N36" s="100">
        <v>80</v>
      </c>
      <c r="O36" s="101"/>
      <c r="P36" s="100">
        <v>180</v>
      </c>
      <c r="Q36" s="101"/>
      <c r="R36" s="100">
        <v>120</v>
      </c>
      <c r="S36" s="101"/>
      <c r="T36" s="100">
        <v>40</v>
      </c>
      <c r="U36" s="101"/>
      <c r="V36" s="100">
        <v>10</v>
      </c>
      <c r="W36" s="102"/>
      <c r="X36" s="110"/>
      <c r="Y36" s="111"/>
      <c r="Z36" s="111"/>
      <c r="AA36" s="111"/>
      <c r="AB36" s="111"/>
      <c r="AC36" s="111"/>
      <c r="AD36" s="111"/>
      <c r="AE36" s="111"/>
      <c r="AF36" s="111"/>
      <c r="AG36" s="111"/>
      <c r="AH36" s="111"/>
      <c r="AI36" s="111"/>
      <c r="AJ36" s="112"/>
      <c r="AM36" s="63">
        <v>14</v>
      </c>
      <c r="AN36" s="63" t="s">
        <v>33</v>
      </c>
      <c r="AO36" s="64">
        <v>0.20833333333333334</v>
      </c>
      <c r="AP36" s="63" t="s">
        <v>92</v>
      </c>
      <c r="AQ36" s="63">
        <v>113.39</v>
      </c>
      <c r="AS36" s="46" t="s">
        <v>82</v>
      </c>
      <c r="AT36" s="44">
        <v>0</v>
      </c>
      <c r="AU36" s="44">
        <v>0</v>
      </c>
      <c r="AV36" s="45">
        <v>0</v>
      </c>
      <c r="AW36" s="45">
        <v>0</v>
      </c>
      <c r="AX36" s="44">
        <v>0</v>
      </c>
      <c r="AY36" s="44">
        <v>0</v>
      </c>
      <c r="AZ36" s="45">
        <v>0</v>
      </c>
      <c r="BA36" s="45">
        <v>0</v>
      </c>
      <c r="BB36" s="44"/>
      <c r="BC36" s="44"/>
      <c r="BD36" s="45"/>
      <c r="BE36" s="45"/>
      <c r="BF36" s="44">
        <v>0</v>
      </c>
      <c r="BG36" s="44">
        <v>0</v>
      </c>
      <c r="BH36" s="45">
        <v>0</v>
      </c>
      <c r="BI36" s="45">
        <v>0</v>
      </c>
      <c r="BJ36" s="44"/>
      <c r="BK36" s="45"/>
    </row>
    <row r="37" spans="1:63">
      <c r="M37" s="4"/>
      <c r="N37" s="4"/>
      <c r="AM37" s="63">
        <v>14</v>
      </c>
      <c r="AN37" s="63" t="s">
        <v>33</v>
      </c>
      <c r="AO37" s="64">
        <v>0.25</v>
      </c>
      <c r="AP37" s="63" t="s">
        <v>92</v>
      </c>
      <c r="AQ37" s="63">
        <v>62.84</v>
      </c>
      <c r="AS37" s="44" t="s">
        <v>41</v>
      </c>
      <c r="AT37" s="44">
        <f>SUM(AT6:AT36)</f>
        <v>0</v>
      </c>
      <c r="AU37" s="44">
        <f t="shared" ref="AU37:BK37" si="2">SUM(AU6:AU36)</f>
        <v>0</v>
      </c>
      <c r="AV37" s="52">
        <f>SUM(AV6:AV36)</f>
        <v>0</v>
      </c>
      <c r="AW37" s="52">
        <f t="shared" si="2"/>
        <v>0</v>
      </c>
      <c r="AX37" s="44">
        <f t="shared" si="2"/>
        <v>3</v>
      </c>
      <c r="AY37" s="44">
        <f t="shared" si="2"/>
        <v>0</v>
      </c>
      <c r="AZ37" s="52">
        <f t="shared" si="2"/>
        <v>2</v>
      </c>
      <c r="BA37" s="52">
        <f t="shared" si="2"/>
        <v>0</v>
      </c>
      <c r="BB37" s="44">
        <f t="shared" si="2"/>
        <v>47</v>
      </c>
      <c r="BC37" s="44">
        <f t="shared" si="2"/>
        <v>0</v>
      </c>
      <c r="BD37" s="52">
        <f t="shared" si="2"/>
        <v>196</v>
      </c>
      <c r="BE37" s="52">
        <f t="shared" si="2"/>
        <v>5</v>
      </c>
      <c r="BF37" s="44">
        <f t="shared" si="2"/>
        <v>0</v>
      </c>
      <c r="BG37" s="44">
        <f t="shared" si="2"/>
        <v>0</v>
      </c>
      <c r="BH37" s="52">
        <f t="shared" si="2"/>
        <v>2</v>
      </c>
      <c r="BI37" s="52">
        <f t="shared" si="2"/>
        <v>1</v>
      </c>
      <c r="BJ37" s="44">
        <f t="shared" si="2"/>
        <v>0</v>
      </c>
      <c r="BK37" s="52">
        <f t="shared" si="2"/>
        <v>0</v>
      </c>
    </row>
    <row r="38" spans="1:63">
      <c r="A38" s="32"/>
      <c r="AM38" s="63">
        <v>14</v>
      </c>
      <c r="AN38" s="63" t="s">
        <v>33</v>
      </c>
      <c r="AO38" s="64">
        <v>0.875</v>
      </c>
      <c r="AP38" s="63" t="s">
        <v>92</v>
      </c>
      <c r="AQ38" s="63">
        <v>72.47</v>
      </c>
    </row>
    <row r="39" spans="1:63">
      <c r="B39" s="33"/>
      <c r="AM39" s="63">
        <v>15</v>
      </c>
      <c r="AN39" s="63" t="s">
        <v>34</v>
      </c>
      <c r="AO39" s="64">
        <v>8.3333333333333329E-2</v>
      </c>
      <c r="AP39" s="63" t="s">
        <v>92</v>
      </c>
      <c r="AQ39" s="63">
        <v>87.54</v>
      </c>
    </row>
    <row r="40" spans="1:63">
      <c r="B40" s="33"/>
      <c r="AM40" s="63">
        <v>15</v>
      </c>
      <c r="AN40" s="63" t="s">
        <v>33</v>
      </c>
      <c r="AO40" s="64">
        <v>0.25</v>
      </c>
      <c r="AP40" s="63" t="s">
        <v>92</v>
      </c>
      <c r="AQ40" s="63">
        <v>67.45</v>
      </c>
    </row>
    <row r="41" spans="1:63">
      <c r="B41" s="33"/>
      <c r="AM41" s="65">
        <v>16</v>
      </c>
      <c r="AN41" s="65" t="s">
        <v>34</v>
      </c>
      <c r="AO41" s="65" t="s">
        <v>104</v>
      </c>
      <c r="AP41" s="65" t="s">
        <v>9</v>
      </c>
      <c r="AQ41" s="66">
        <v>74.239999999999995</v>
      </c>
    </row>
    <row r="42" spans="1:63">
      <c r="A42" s="32"/>
      <c r="B42" s="33"/>
      <c r="AM42" s="65">
        <v>16</v>
      </c>
      <c r="AN42" s="65" t="s">
        <v>34</v>
      </c>
      <c r="AO42" s="66" t="s">
        <v>105</v>
      </c>
      <c r="AP42" s="65" t="s">
        <v>92</v>
      </c>
      <c r="AQ42" s="65">
        <v>68.13</v>
      </c>
    </row>
    <row r="43" spans="1:63">
      <c r="A43" s="32"/>
      <c r="B43" s="34"/>
      <c r="AM43" s="65">
        <v>16</v>
      </c>
      <c r="AN43" s="65" t="s">
        <v>33</v>
      </c>
      <c r="AO43" s="67" t="s">
        <v>106</v>
      </c>
      <c r="AP43" s="65" t="s">
        <v>92</v>
      </c>
      <c r="AQ43" s="65">
        <v>73.349999999999994</v>
      </c>
    </row>
    <row r="44" spans="1:63" ht="16.5" customHeight="1">
      <c r="A44" s="32"/>
      <c r="B44" s="34"/>
      <c r="D44" s="34"/>
      <c r="E44" s="34"/>
      <c r="F44" s="34"/>
      <c r="G44" s="34"/>
      <c r="H44" s="34"/>
      <c r="AM44" s="65">
        <v>17</v>
      </c>
      <c r="AN44" s="65" t="s">
        <v>33</v>
      </c>
      <c r="AO44" s="65" t="s">
        <v>104</v>
      </c>
      <c r="AP44" s="65" t="s">
        <v>92</v>
      </c>
      <c r="AQ44" s="65">
        <v>97.61</v>
      </c>
    </row>
    <row r="45" spans="1:63">
      <c r="A45" s="32"/>
      <c r="B45" s="34"/>
      <c r="D45" s="34"/>
      <c r="E45" s="34"/>
      <c r="F45" s="34"/>
      <c r="G45" s="34"/>
      <c r="H45" s="34"/>
      <c r="AM45" s="65">
        <v>17</v>
      </c>
      <c r="AN45" s="65" t="s">
        <v>33</v>
      </c>
      <c r="AO45" s="67" t="s">
        <v>107</v>
      </c>
      <c r="AP45" s="65" t="s">
        <v>92</v>
      </c>
      <c r="AQ45" s="65">
        <v>99.53</v>
      </c>
    </row>
    <row r="46" spans="1:63">
      <c r="A46" s="32"/>
      <c r="B46" s="34"/>
      <c r="D46" s="34"/>
      <c r="E46" s="34"/>
      <c r="F46" s="34"/>
      <c r="G46" s="34"/>
      <c r="H46" s="34"/>
      <c r="AM46" s="68">
        <v>18</v>
      </c>
      <c r="AN46" s="68" t="s">
        <v>33</v>
      </c>
      <c r="AO46" s="69" t="s">
        <v>104</v>
      </c>
      <c r="AP46" s="68" t="s">
        <v>92</v>
      </c>
      <c r="AQ46" s="68">
        <v>62.31</v>
      </c>
    </row>
    <row r="47" spans="1:63">
      <c r="A47" s="32"/>
      <c r="B47" s="34"/>
      <c r="D47" s="34"/>
      <c r="E47" s="34"/>
      <c r="F47" s="34"/>
      <c r="G47" s="34"/>
      <c r="H47" s="34"/>
      <c r="AM47" s="68">
        <v>18</v>
      </c>
      <c r="AN47" s="68" t="s">
        <v>33</v>
      </c>
      <c r="AO47" s="69" t="s">
        <v>108</v>
      </c>
      <c r="AP47" s="68" t="s">
        <v>92</v>
      </c>
      <c r="AQ47" s="68">
        <v>71.540000000000006</v>
      </c>
    </row>
    <row r="48" spans="1:63">
      <c r="A48" s="32"/>
      <c r="B48" s="34"/>
      <c r="D48" s="34"/>
      <c r="E48" s="34"/>
      <c r="F48" s="34"/>
      <c r="G48" s="34"/>
      <c r="H48" s="34"/>
      <c r="AM48" s="68">
        <v>19</v>
      </c>
      <c r="AN48" s="68" t="s">
        <v>109</v>
      </c>
      <c r="AO48" s="70">
        <v>0.5</v>
      </c>
      <c r="AP48" s="68" t="s">
        <v>92</v>
      </c>
      <c r="AQ48" s="68">
        <v>60.88</v>
      </c>
    </row>
    <row r="49" spans="1:43">
      <c r="A49" s="32"/>
      <c r="AM49" s="68">
        <v>19</v>
      </c>
      <c r="AN49" s="68" t="s">
        <v>109</v>
      </c>
      <c r="AO49" s="70">
        <v>0.79166666666666663</v>
      </c>
      <c r="AP49" s="68" t="s">
        <v>92</v>
      </c>
      <c r="AQ49" s="68">
        <v>64.89</v>
      </c>
    </row>
    <row r="50" spans="1:43">
      <c r="A50" s="32"/>
      <c r="D50" s="34"/>
      <c r="AM50" s="68">
        <v>19</v>
      </c>
      <c r="AN50" s="68" t="s">
        <v>33</v>
      </c>
      <c r="AO50" s="70">
        <v>0.45833333333333331</v>
      </c>
      <c r="AP50" s="68" t="s">
        <v>92</v>
      </c>
      <c r="AQ50" s="68">
        <v>72.66</v>
      </c>
    </row>
    <row r="51" spans="1:43">
      <c r="A51" s="32"/>
      <c r="D51" s="34"/>
      <c r="AM51" s="68">
        <v>19</v>
      </c>
      <c r="AN51" s="68" t="s">
        <v>33</v>
      </c>
      <c r="AO51" s="70">
        <v>0.45833333333333331</v>
      </c>
      <c r="AP51" s="68" t="s">
        <v>93</v>
      </c>
      <c r="AQ51" s="68">
        <v>36.869999999999997</v>
      </c>
    </row>
    <row r="52" spans="1:43">
      <c r="A52" s="32"/>
      <c r="D52" s="34"/>
      <c r="AM52" s="68">
        <v>19</v>
      </c>
      <c r="AN52" s="68" t="s">
        <v>33</v>
      </c>
      <c r="AO52" s="70">
        <v>0.5</v>
      </c>
      <c r="AP52" s="68" t="s">
        <v>92</v>
      </c>
      <c r="AQ52" s="68">
        <v>78.81</v>
      </c>
    </row>
    <row r="53" spans="1:43">
      <c r="A53" s="32"/>
      <c r="D53" s="34"/>
      <c r="AM53" s="68">
        <v>19</v>
      </c>
      <c r="AN53" s="68" t="s">
        <v>33</v>
      </c>
      <c r="AO53" s="70">
        <v>0.58333333333333337</v>
      </c>
      <c r="AP53" s="68" t="s">
        <v>9</v>
      </c>
      <c r="AQ53" s="68">
        <v>70.48</v>
      </c>
    </row>
    <row r="54" spans="1:43">
      <c r="A54" s="32"/>
      <c r="D54" s="34"/>
      <c r="AM54" s="68">
        <v>20</v>
      </c>
      <c r="AN54" s="68" t="s">
        <v>110</v>
      </c>
      <c r="AO54" s="71">
        <v>0.375</v>
      </c>
      <c r="AP54" s="68" t="s">
        <v>92</v>
      </c>
      <c r="AQ54" s="68">
        <v>81.95</v>
      </c>
    </row>
    <row r="55" spans="1:43">
      <c r="A55" s="32"/>
      <c r="D55" s="34"/>
      <c r="AM55" s="68">
        <v>20</v>
      </c>
      <c r="AN55" s="68" t="s">
        <v>110</v>
      </c>
      <c r="AO55" s="71">
        <v>0.54166666666666663</v>
      </c>
      <c r="AP55" s="68" t="s">
        <v>92</v>
      </c>
      <c r="AQ55" s="68">
        <v>62.72</v>
      </c>
    </row>
    <row r="56" spans="1:43">
      <c r="A56" s="32"/>
      <c r="D56" s="34"/>
      <c r="AM56" s="68">
        <v>20</v>
      </c>
      <c r="AN56" s="68" t="s">
        <v>110</v>
      </c>
      <c r="AO56" s="71">
        <v>0.625</v>
      </c>
      <c r="AP56" s="68" t="s">
        <v>92</v>
      </c>
      <c r="AQ56" s="68">
        <v>71.39</v>
      </c>
    </row>
    <row r="57" spans="1:43">
      <c r="A57" s="32"/>
      <c r="D57" s="34"/>
      <c r="AM57" s="68">
        <v>20</v>
      </c>
      <c r="AN57" s="68" t="s">
        <v>110</v>
      </c>
      <c r="AO57" s="71">
        <v>0.83333333333333337</v>
      </c>
      <c r="AP57" s="68" t="s">
        <v>92</v>
      </c>
      <c r="AQ57" s="68">
        <v>72.680000000000007</v>
      </c>
    </row>
    <row r="58" spans="1:43">
      <c r="A58" s="32"/>
      <c r="D58" s="34"/>
      <c r="AM58" s="68">
        <v>21</v>
      </c>
      <c r="AN58" s="68" t="s">
        <v>33</v>
      </c>
      <c r="AO58" s="70">
        <v>0.66666666666666663</v>
      </c>
      <c r="AP58" s="68" t="s">
        <v>9</v>
      </c>
      <c r="AQ58" s="68">
        <v>71.14</v>
      </c>
    </row>
    <row r="59" spans="1:43">
      <c r="A59" s="32"/>
      <c r="D59" s="34"/>
      <c r="AM59" s="68">
        <v>21</v>
      </c>
      <c r="AN59" s="68" t="s">
        <v>33</v>
      </c>
      <c r="AO59" s="70">
        <v>0.54166666666666663</v>
      </c>
      <c r="AP59" s="68" t="s">
        <v>92</v>
      </c>
      <c r="AQ59" s="68">
        <v>66.680000000000007</v>
      </c>
    </row>
    <row r="60" spans="1:43">
      <c r="A60" s="32"/>
      <c r="D60" s="34"/>
      <c r="AM60" s="68">
        <v>21</v>
      </c>
      <c r="AN60" s="68" t="s">
        <v>33</v>
      </c>
      <c r="AO60" s="70">
        <v>0.625</v>
      </c>
      <c r="AP60" s="68" t="s">
        <v>92</v>
      </c>
      <c r="AQ60" s="68">
        <v>66.25</v>
      </c>
    </row>
    <row r="61" spans="1:43">
      <c r="A61" s="32"/>
      <c r="D61" s="34"/>
      <c r="AM61" s="68">
        <v>21</v>
      </c>
      <c r="AN61" s="68" t="s">
        <v>33</v>
      </c>
      <c r="AO61" s="70">
        <v>0.91666666666666663</v>
      </c>
      <c r="AP61" s="68" t="s">
        <v>92</v>
      </c>
      <c r="AQ61" s="68">
        <v>61.64</v>
      </c>
    </row>
    <row r="62" spans="1:43">
      <c r="D62" s="34"/>
      <c r="AM62" s="68">
        <v>21</v>
      </c>
      <c r="AN62" s="68" t="s">
        <v>33</v>
      </c>
      <c r="AO62" s="70">
        <v>0.45833333333333331</v>
      </c>
      <c r="AP62" s="68" t="s">
        <v>93</v>
      </c>
      <c r="AQ62" s="68">
        <v>82.28</v>
      </c>
    </row>
    <row r="63" spans="1:43">
      <c r="D63" s="34"/>
      <c r="AM63" s="68">
        <v>22</v>
      </c>
      <c r="AN63" s="69" t="s">
        <v>111</v>
      </c>
      <c r="AO63" s="70">
        <v>0.95833333333333337</v>
      </c>
      <c r="AP63" s="69" t="s">
        <v>92</v>
      </c>
      <c r="AQ63" s="69">
        <v>68.95</v>
      </c>
    </row>
    <row r="64" spans="1:43">
      <c r="A64" s="32"/>
      <c r="D64" s="34"/>
      <c r="AM64" s="68">
        <v>23</v>
      </c>
      <c r="AN64" s="68" t="s">
        <v>111</v>
      </c>
      <c r="AO64" s="70">
        <v>0.29166666666666669</v>
      </c>
      <c r="AP64" s="68" t="s">
        <v>92</v>
      </c>
      <c r="AQ64" s="68">
        <v>94.24</v>
      </c>
    </row>
    <row r="65" spans="1:43">
      <c r="A65" s="32"/>
      <c r="D65" s="34"/>
      <c r="AM65" s="68">
        <v>24</v>
      </c>
      <c r="AN65" s="68" t="s">
        <v>112</v>
      </c>
      <c r="AO65" s="70">
        <v>0.25</v>
      </c>
      <c r="AP65" s="68" t="s">
        <v>92</v>
      </c>
      <c r="AQ65" s="68">
        <v>71.7</v>
      </c>
    </row>
    <row r="66" spans="1:43">
      <c r="A66" s="32"/>
      <c r="AM66" s="68">
        <v>24</v>
      </c>
      <c r="AN66" s="68" t="s">
        <v>112</v>
      </c>
      <c r="AO66" s="70">
        <v>0.875</v>
      </c>
      <c r="AP66" s="68" t="s">
        <v>92</v>
      </c>
      <c r="AQ66" s="68">
        <v>60.31</v>
      </c>
    </row>
    <row r="67" spans="1:43">
      <c r="A67" s="32"/>
      <c r="AM67" s="68">
        <v>25</v>
      </c>
      <c r="AN67" s="68" t="s">
        <v>112</v>
      </c>
      <c r="AO67" s="70">
        <v>0.83333333333333337</v>
      </c>
      <c r="AP67" s="68" t="s">
        <v>92</v>
      </c>
      <c r="AQ67" s="68">
        <v>61.08</v>
      </c>
    </row>
    <row r="68" spans="1:43">
      <c r="A68" s="32"/>
      <c r="AM68" s="68">
        <v>25</v>
      </c>
      <c r="AN68" s="68" t="s">
        <v>112</v>
      </c>
      <c r="AO68" s="70">
        <v>0.875</v>
      </c>
      <c r="AP68" s="68" t="s">
        <v>92</v>
      </c>
      <c r="AQ68" s="68">
        <v>93.51</v>
      </c>
    </row>
    <row r="69" spans="1:43">
      <c r="A69" s="32"/>
      <c r="AM69" s="68">
        <v>25</v>
      </c>
      <c r="AN69" s="68" t="s">
        <v>33</v>
      </c>
      <c r="AO69" s="70">
        <v>0.91666666666666663</v>
      </c>
      <c r="AP69" s="68" t="s">
        <v>92</v>
      </c>
      <c r="AQ69" s="68">
        <v>84.79</v>
      </c>
    </row>
    <row r="70" spans="1:43">
      <c r="A70" s="32"/>
      <c r="AM70" s="68">
        <v>26</v>
      </c>
      <c r="AN70" s="68" t="s">
        <v>113</v>
      </c>
      <c r="AO70" s="70">
        <v>0.625</v>
      </c>
      <c r="AP70" s="68" t="s">
        <v>92</v>
      </c>
      <c r="AQ70" s="68">
        <v>93.3</v>
      </c>
    </row>
    <row r="71" spans="1:43">
      <c r="A71" s="32"/>
      <c r="AM71" s="68">
        <v>26</v>
      </c>
      <c r="AN71" s="68" t="s">
        <v>114</v>
      </c>
      <c r="AO71" s="70">
        <v>0</v>
      </c>
      <c r="AP71" s="68" t="s">
        <v>92</v>
      </c>
      <c r="AQ71" s="68">
        <v>86.23</v>
      </c>
    </row>
    <row r="72" spans="1:43">
      <c r="A72" s="32"/>
      <c r="AM72" s="68">
        <v>26</v>
      </c>
      <c r="AN72" s="68" t="s">
        <v>114</v>
      </c>
      <c r="AO72" s="70">
        <v>8.3333333333333329E-2</v>
      </c>
      <c r="AP72" s="68" t="s">
        <v>92</v>
      </c>
      <c r="AQ72" s="68">
        <v>114.43</v>
      </c>
    </row>
    <row r="73" spans="1:43">
      <c r="A73" s="32"/>
      <c r="AM73" s="68">
        <v>26</v>
      </c>
      <c r="AN73" s="68" t="s">
        <v>33</v>
      </c>
      <c r="AO73" s="70">
        <v>0.16666666666666666</v>
      </c>
      <c r="AP73" s="68" t="s">
        <v>92</v>
      </c>
      <c r="AQ73" s="68">
        <v>75.91</v>
      </c>
    </row>
    <row r="74" spans="1:43">
      <c r="AM74" s="68">
        <v>26</v>
      </c>
      <c r="AN74" s="68" t="s">
        <v>33</v>
      </c>
      <c r="AO74" s="70">
        <v>0.29166666666666669</v>
      </c>
      <c r="AP74" s="68" t="s">
        <v>92</v>
      </c>
      <c r="AQ74" s="68">
        <v>63.17</v>
      </c>
    </row>
    <row r="75" spans="1:43">
      <c r="AM75" s="68">
        <v>27</v>
      </c>
      <c r="AN75" s="68" t="s">
        <v>115</v>
      </c>
      <c r="AO75" s="70">
        <v>0.29166666666666669</v>
      </c>
      <c r="AP75" s="68" t="s">
        <v>92</v>
      </c>
      <c r="AQ75" s="68">
        <v>75.72</v>
      </c>
    </row>
    <row r="76" spans="1:43">
      <c r="AM76" s="68">
        <v>27</v>
      </c>
      <c r="AN76" s="68" t="s">
        <v>116</v>
      </c>
      <c r="AO76" s="70">
        <v>4.1666666666666664E-2</v>
      </c>
      <c r="AP76" s="68" t="s">
        <v>92</v>
      </c>
      <c r="AQ76" s="68">
        <v>99.52</v>
      </c>
    </row>
    <row r="77" spans="1:43">
      <c r="AM77" s="68">
        <v>27</v>
      </c>
      <c r="AN77" s="68" t="s">
        <v>116</v>
      </c>
      <c r="AO77" s="70">
        <v>0.25</v>
      </c>
      <c r="AP77" s="68" t="s">
        <v>92</v>
      </c>
      <c r="AQ77" s="68">
        <v>69.36</v>
      </c>
    </row>
    <row r="78" spans="1:43">
      <c r="AM78" s="68">
        <v>28</v>
      </c>
      <c r="AN78" s="68" t="s">
        <v>118</v>
      </c>
      <c r="AO78" s="70">
        <v>0.54166666666666663</v>
      </c>
      <c r="AP78" s="68" t="s">
        <v>92</v>
      </c>
      <c r="AQ78" s="68">
        <v>66.069999999999993</v>
      </c>
    </row>
    <row r="79" spans="1:43">
      <c r="AM79" s="68">
        <v>28</v>
      </c>
      <c r="AN79" s="68" t="s">
        <v>117</v>
      </c>
      <c r="AO79" s="70">
        <v>0.25</v>
      </c>
      <c r="AP79" s="68" t="s">
        <v>92</v>
      </c>
      <c r="AQ79" s="68">
        <v>71.040000000000006</v>
      </c>
    </row>
    <row r="80" spans="1:43">
      <c r="AM80" s="68">
        <v>28</v>
      </c>
      <c r="AN80" s="68" t="s">
        <v>117</v>
      </c>
      <c r="AO80" s="70">
        <v>0.29166666666666669</v>
      </c>
      <c r="AP80" s="68" t="s">
        <v>92</v>
      </c>
      <c r="AQ80" s="68">
        <v>75.77</v>
      </c>
    </row>
    <row r="81" spans="39:43">
      <c r="AM81" s="68">
        <v>28</v>
      </c>
      <c r="AN81" s="68" t="s">
        <v>33</v>
      </c>
      <c r="AO81" s="70">
        <v>0.33333333333333331</v>
      </c>
      <c r="AP81" s="68" t="s">
        <v>92</v>
      </c>
      <c r="AQ81" s="68">
        <v>82.23</v>
      </c>
    </row>
    <row r="82" spans="39:43">
      <c r="AM82" s="68">
        <v>28</v>
      </c>
      <c r="AN82" s="68" t="s">
        <v>117</v>
      </c>
      <c r="AO82" s="70">
        <v>0.75</v>
      </c>
      <c r="AP82" s="68" t="s">
        <v>92</v>
      </c>
      <c r="AQ82" s="68">
        <v>70.36</v>
      </c>
    </row>
    <row r="83" spans="39:43">
      <c r="AM83" s="68">
        <v>29</v>
      </c>
      <c r="AN83" s="68" t="s">
        <v>119</v>
      </c>
      <c r="AO83" s="70">
        <v>0.375</v>
      </c>
      <c r="AP83" s="68" t="s">
        <v>92</v>
      </c>
      <c r="AQ83" s="68">
        <v>112.38</v>
      </c>
    </row>
    <row r="84" spans="39:43">
      <c r="AM84" s="68">
        <v>29</v>
      </c>
      <c r="AN84" s="68" t="s">
        <v>119</v>
      </c>
      <c r="AO84" s="70">
        <v>0.41666666666666669</v>
      </c>
      <c r="AP84" s="68" t="s">
        <v>92</v>
      </c>
      <c r="AQ84" s="68">
        <v>64.83</v>
      </c>
    </row>
    <row r="85" spans="39:43">
      <c r="AM85" s="68">
        <v>29</v>
      </c>
      <c r="AN85" s="68" t="s">
        <v>119</v>
      </c>
      <c r="AO85" s="70">
        <v>0.5</v>
      </c>
      <c r="AP85" s="68" t="s">
        <v>92</v>
      </c>
      <c r="AQ85" s="68">
        <v>60.18</v>
      </c>
    </row>
    <row r="86" spans="39:43">
      <c r="AM86" s="68">
        <v>30</v>
      </c>
      <c r="AN86" s="68" t="s">
        <v>120</v>
      </c>
      <c r="AO86" s="71">
        <v>0.375</v>
      </c>
      <c r="AP86" s="68" t="s">
        <v>92</v>
      </c>
      <c r="AQ86" s="68">
        <v>71.52</v>
      </c>
    </row>
    <row r="87" spans="39:43">
      <c r="AM87" s="68">
        <v>30</v>
      </c>
      <c r="AN87" s="68" t="s">
        <v>121</v>
      </c>
      <c r="AO87" s="71">
        <v>0.45833333333333331</v>
      </c>
      <c r="AP87" s="68" t="s">
        <v>92</v>
      </c>
      <c r="AQ87" s="68">
        <v>73.33</v>
      </c>
    </row>
    <row r="88" spans="39:43">
      <c r="AM88" s="68">
        <v>31</v>
      </c>
      <c r="AN88" s="68" t="s">
        <v>122</v>
      </c>
      <c r="AO88" s="71">
        <v>0.79166666666666663</v>
      </c>
      <c r="AP88" s="68" t="s">
        <v>92</v>
      </c>
      <c r="AQ88" s="68">
        <v>63.79</v>
      </c>
    </row>
    <row r="107" spans="4:34">
      <c r="D107" s="3" t="s">
        <v>4</v>
      </c>
      <c r="M107" s="4"/>
      <c r="N107" s="4"/>
    </row>
    <row r="108" spans="4:34">
      <c r="D108" s="8" t="s">
        <v>7</v>
      </c>
      <c r="E108" s="8">
        <v>20</v>
      </c>
      <c r="F108" s="8">
        <v>20</v>
      </c>
      <c r="G108" s="8">
        <v>20</v>
      </c>
      <c r="H108" s="8">
        <v>20</v>
      </c>
      <c r="I108" s="8">
        <v>20</v>
      </c>
      <c r="J108" s="8">
        <v>20</v>
      </c>
      <c r="K108" s="8">
        <v>20</v>
      </c>
      <c r="L108" s="8">
        <v>20</v>
      </c>
      <c r="M108" s="8">
        <v>20</v>
      </c>
      <c r="N108" s="8">
        <v>20</v>
      </c>
      <c r="O108" s="8">
        <v>20</v>
      </c>
      <c r="P108" s="8">
        <v>20</v>
      </c>
      <c r="Q108" s="8">
        <v>20</v>
      </c>
      <c r="R108" s="8">
        <v>20</v>
      </c>
      <c r="S108" s="8">
        <v>20</v>
      </c>
      <c r="T108" s="8">
        <v>20</v>
      </c>
      <c r="U108" s="8">
        <v>20</v>
      </c>
      <c r="V108" s="8">
        <v>20</v>
      </c>
      <c r="W108" s="8">
        <v>20</v>
      </c>
      <c r="X108" s="8">
        <v>20</v>
      </c>
      <c r="Y108" s="8">
        <v>20</v>
      </c>
      <c r="Z108" s="8">
        <v>20</v>
      </c>
      <c r="AA108" s="8">
        <v>20</v>
      </c>
      <c r="AB108" s="8">
        <v>20</v>
      </c>
      <c r="AC108" s="8">
        <v>20</v>
      </c>
      <c r="AD108" s="8">
        <v>20</v>
      </c>
      <c r="AE108" s="8">
        <v>20</v>
      </c>
      <c r="AF108" s="8">
        <v>20</v>
      </c>
      <c r="AG108" s="8">
        <v>20</v>
      </c>
      <c r="AH108" s="8">
        <v>20</v>
      </c>
    </row>
    <row r="109" spans="4:34">
      <c r="D109" s="8" t="s">
        <v>9</v>
      </c>
      <c r="E109" s="8">
        <v>70</v>
      </c>
      <c r="F109" s="8">
        <v>70</v>
      </c>
      <c r="G109" s="8">
        <v>70</v>
      </c>
      <c r="H109" s="8">
        <v>70</v>
      </c>
      <c r="I109" s="8">
        <v>70</v>
      </c>
      <c r="J109" s="8">
        <v>70</v>
      </c>
      <c r="K109" s="8">
        <v>70</v>
      </c>
      <c r="L109" s="8">
        <v>70</v>
      </c>
      <c r="M109" s="8">
        <v>70</v>
      </c>
      <c r="N109" s="8">
        <v>70</v>
      </c>
      <c r="O109" s="8">
        <v>70</v>
      </c>
      <c r="P109" s="8">
        <v>70</v>
      </c>
      <c r="Q109" s="8">
        <v>70</v>
      </c>
      <c r="R109" s="8">
        <v>70</v>
      </c>
      <c r="S109" s="8">
        <v>70</v>
      </c>
      <c r="T109" s="8">
        <v>70</v>
      </c>
      <c r="U109" s="8">
        <v>70</v>
      </c>
      <c r="V109" s="8">
        <v>70</v>
      </c>
      <c r="W109" s="8">
        <v>70</v>
      </c>
      <c r="X109" s="8">
        <v>70</v>
      </c>
      <c r="Y109" s="8">
        <v>70</v>
      </c>
      <c r="Z109" s="8">
        <v>70</v>
      </c>
      <c r="AA109" s="8">
        <v>70</v>
      </c>
      <c r="AB109" s="8">
        <v>70</v>
      </c>
      <c r="AC109" s="8">
        <v>70</v>
      </c>
      <c r="AD109" s="8">
        <v>70</v>
      </c>
      <c r="AE109" s="8">
        <v>70</v>
      </c>
      <c r="AF109" s="8">
        <v>70</v>
      </c>
      <c r="AG109" s="8">
        <v>70</v>
      </c>
      <c r="AH109" s="8">
        <v>70</v>
      </c>
    </row>
    <row r="110" spans="4:34">
      <c r="D110" s="8" t="s">
        <v>11</v>
      </c>
      <c r="E110" s="8">
        <v>60</v>
      </c>
      <c r="F110" s="8">
        <v>60</v>
      </c>
      <c r="G110" s="8">
        <v>60</v>
      </c>
      <c r="H110" s="8">
        <v>60</v>
      </c>
      <c r="I110" s="8">
        <v>60</v>
      </c>
      <c r="J110" s="8">
        <v>60</v>
      </c>
      <c r="K110" s="8">
        <v>60</v>
      </c>
      <c r="L110" s="8">
        <v>60</v>
      </c>
      <c r="M110" s="8">
        <v>60</v>
      </c>
      <c r="N110" s="8">
        <v>60</v>
      </c>
      <c r="O110" s="8">
        <v>60</v>
      </c>
      <c r="P110" s="8">
        <v>60</v>
      </c>
      <c r="Q110" s="8">
        <v>60</v>
      </c>
      <c r="R110" s="8">
        <v>60</v>
      </c>
      <c r="S110" s="8">
        <v>60</v>
      </c>
      <c r="T110" s="8">
        <v>60</v>
      </c>
      <c r="U110" s="8">
        <v>60</v>
      </c>
      <c r="V110" s="8">
        <v>60</v>
      </c>
      <c r="W110" s="8">
        <v>60</v>
      </c>
      <c r="X110" s="8">
        <v>60</v>
      </c>
      <c r="Y110" s="8">
        <v>60</v>
      </c>
      <c r="Z110" s="8">
        <v>60</v>
      </c>
      <c r="AA110" s="8">
        <v>60</v>
      </c>
      <c r="AB110" s="8">
        <v>60</v>
      </c>
      <c r="AC110" s="8">
        <v>60</v>
      </c>
      <c r="AD110" s="8">
        <v>60</v>
      </c>
      <c r="AE110" s="8">
        <v>60</v>
      </c>
      <c r="AF110" s="8">
        <v>60</v>
      </c>
      <c r="AG110" s="8">
        <v>60</v>
      </c>
      <c r="AH110" s="8">
        <v>60</v>
      </c>
    </row>
    <row r="111" spans="4:34">
      <c r="D111" s="8" t="s">
        <v>12</v>
      </c>
      <c r="E111" s="8">
        <v>30</v>
      </c>
      <c r="F111" s="8">
        <v>30</v>
      </c>
      <c r="G111" s="8">
        <v>30</v>
      </c>
      <c r="H111" s="8">
        <v>30</v>
      </c>
      <c r="I111" s="8">
        <v>30</v>
      </c>
      <c r="J111" s="8">
        <v>30</v>
      </c>
      <c r="K111" s="8">
        <v>30</v>
      </c>
      <c r="L111" s="8">
        <v>30</v>
      </c>
      <c r="M111" s="8">
        <v>30</v>
      </c>
      <c r="N111" s="8">
        <v>30</v>
      </c>
      <c r="O111" s="8">
        <v>30</v>
      </c>
      <c r="P111" s="8">
        <v>30</v>
      </c>
      <c r="Q111" s="8">
        <v>30</v>
      </c>
      <c r="R111" s="8">
        <v>30</v>
      </c>
      <c r="S111" s="8">
        <v>30</v>
      </c>
      <c r="T111" s="8">
        <v>30</v>
      </c>
      <c r="U111" s="8">
        <v>30</v>
      </c>
      <c r="V111" s="8">
        <v>30</v>
      </c>
      <c r="W111" s="8">
        <v>30</v>
      </c>
      <c r="X111" s="8">
        <v>30</v>
      </c>
      <c r="Y111" s="8">
        <v>30</v>
      </c>
      <c r="Z111" s="8">
        <v>30</v>
      </c>
      <c r="AA111" s="8">
        <v>30</v>
      </c>
      <c r="AB111" s="8">
        <v>30</v>
      </c>
      <c r="AC111" s="8">
        <v>30</v>
      </c>
      <c r="AD111" s="8">
        <v>30</v>
      </c>
      <c r="AE111" s="8">
        <v>30</v>
      </c>
      <c r="AF111" s="8">
        <v>30</v>
      </c>
      <c r="AG111" s="8">
        <v>30</v>
      </c>
      <c r="AH111" s="8">
        <v>30</v>
      </c>
    </row>
    <row r="112" spans="4:34">
      <c r="D112" s="8" t="s">
        <v>13</v>
      </c>
      <c r="E112" s="8">
        <v>10</v>
      </c>
      <c r="F112" s="8">
        <v>10</v>
      </c>
      <c r="G112" s="8">
        <v>10</v>
      </c>
      <c r="H112" s="8">
        <v>10</v>
      </c>
      <c r="I112" s="8">
        <v>10</v>
      </c>
      <c r="J112" s="8">
        <v>10</v>
      </c>
      <c r="K112" s="8">
        <v>10</v>
      </c>
      <c r="L112" s="8">
        <v>10</v>
      </c>
      <c r="M112" s="8">
        <v>10</v>
      </c>
      <c r="N112" s="8">
        <v>10</v>
      </c>
      <c r="O112" s="8">
        <v>10</v>
      </c>
      <c r="P112" s="8">
        <v>10</v>
      </c>
      <c r="Q112" s="8">
        <v>10</v>
      </c>
      <c r="R112" s="8">
        <v>10</v>
      </c>
      <c r="S112" s="8">
        <v>10</v>
      </c>
      <c r="T112" s="8">
        <v>10</v>
      </c>
      <c r="U112" s="8">
        <v>10</v>
      </c>
      <c r="V112" s="8">
        <v>10</v>
      </c>
      <c r="W112" s="8">
        <v>10</v>
      </c>
      <c r="X112" s="8">
        <v>10</v>
      </c>
      <c r="Y112" s="8">
        <v>10</v>
      </c>
      <c r="Z112" s="8">
        <v>10</v>
      </c>
      <c r="AA112" s="8">
        <v>10</v>
      </c>
      <c r="AB112" s="8">
        <v>10</v>
      </c>
      <c r="AC112" s="8">
        <v>10</v>
      </c>
      <c r="AD112" s="8">
        <v>10</v>
      </c>
      <c r="AE112" s="8">
        <v>10</v>
      </c>
      <c r="AF112" s="8">
        <v>10</v>
      </c>
      <c r="AG112" s="8">
        <v>10</v>
      </c>
      <c r="AH112" s="8">
        <v>10</v>
      </c>
    </row>
  </sheetData>
  <autoFilter ref="AM3:AQ3" xr:uid="{46FFA5AC-2ACD-4EDE-B5C9-2ADC3CD4E013}"/>
  <mergeCells count="55">
    <mergeCell ref="AS1:BK1"/>
    <mergeCell ref="BJ2:BK2"/>
    <mergeCell ref="BF2:BI2"/>
    <mergeCell ref="BB2:BE2"/>
    <mergeCell ref="AX2:BA2"/>
    <mergeCell ref="AT2:AW2"/>
    <mergeCell ref="V36:W36"/>
    <mergeCell ref="V34:W34"/>
    <mergeCell ref="X34:AJ36"/>
    <mergeCell ref="L35:M35"/>
    <mergeCell ref="N35:O35"/>
    <mergeCell ref="P35:Q35"/>
    <mergeCell ref="R35:S35"/>
    <mergeCell ref="T35:U35"/>
    <mergeCell ref="V35:W35"/>
    <mergeCell ref="L36:M36"/>
    <mergeCell ref="N36:O36"/>
    <mergeCell ref="T34:U34"/>
    <mergeCell ref="T36:U36"/>
    <mergeCell ref="B34:B36"/>
    <mergeCell ref="L34:M34"/>
    <mergeCell ref="N34:O34"/>
    <mergeCell ref="P34:Q34"/>
    <mergeCell ref="R34:S34"/>
    <mergeCell ref="P36:Q36"/>
    <mergeCell ref="R36:S36"/>
    <mergeCell ref="B22:B27"/>
    <mergeCell ref="C22:C24"/>
    <mergeCell ref="C25:C27"/>
    <mergeCell ref="B28:B33"/>
    <mergeCell ref="C28:C30"/>
    <mergeCell ref="C31:C33"/>
    <mergeCell ref="D2:D3"/>
    <mergeCell ref="B10:B15"/>
    <mergeCell ref="C10:C12"/>
    <mergeCell ref="C13:C15"/>
    <mergeCell ref="B16:B21"/>
    <mergeCell ref="C16:C18"/>
    <mergeCell ref="C19:C21"/>
    <mergeCell ref="AJ2:AJ3"/>
    <mergeCell ref="BJ4:BK4"/>
    <mergeCell ref="B4:B9"/>
    <mergeCell ref="C4:C6"/>
    <mergeCell ref="AT3:AU3"/>
    <mergeCell ref="AV3:AW3"/>
    <mergeCell ref="AX3:AY3"/>
    <mergeCell ref="AZ3:BA3"/>
    <mergeCell ref="C7:C9"/>
    <mergeCell ref="BB3:BC3"/>
    <mergeCell ref="BD3:BE3"/>
    <mergeCell ref="BF3:BG3"/>
    <mergeCell ref="BH3:BI3"/>
    <mergeCell ref="AS4:AS5"/>
    <mergeCell ref="B2:B3"/>
    <mergeCell ref="C2:C3"/>
  </mergeCells>
  <phoneticPr fontId="1" type="noConversion"/>
  <conditionalFormatting sqref="E4:AJ9">
    <cfRule type="cellIs" dxfId="8" priority="3" operator="greaterThan">
      <formula>20</formula>
    </cfRule>
  </conditionalFormatting>
  <conditionalFormatting sqref="E10:AJ15">
    <cfRule type="cellIs" dxfId="7" priority="1" operator="greaterThan">
      <formula>70</formula>
    </cfRule>
  </conditionalFormatting>
  <conditionalFormatting sqref="E16:AJ21">
    <cfRule type="cellIs" dxfId="6" priority="2" operator="greaterThan">
      <formula>60</formula>
    </cfRule>
  </conditionalFormatting>
  <conditionalFormatting sqref="E22:AJ27">
    <cfRule type="cellIs" dxfId="5" priority="4" operator="greaterThan">
      <formula>30</formula>
    </cfRule>
  </conditionalFormatting>
  <conditionalFormatting sqref="E28:AJ33">
    <cfRule type="cellIs" dxfId="4" priority="5" operator="greaterThan">
      <formula>10</formula>
    </cfRule>
  </conditionalFormatting>
  <conditionalFormatting sqref="AT6:BB36 BD6:BD36 BF6:BI36">
    <cfRule type="cellIs" dxfId="3" priority="10" operator="greaterThanOrEqual">
      <formula>3</formula>
    </cfRule>
  </conditionalFormatting>
  <conditionalFormatting sqref="AT6:BK36">
    <cfRule type="cellIs" dxfId="2" priority="11" operator="equal">
      <formula>0</formula>
    </cfRule>
  </conditionalFormatting>
  <conditionalFormatting sqref="BC6:BC36 BE6:BE36">
    <cfRule type="cellIs" dxfId="1" priority="13" operator="greaterThanOrEqual">
      <formula>1</formula>
    </cfRule>
  </conditionalFormatting>
  <conditionalFormatting sqref="BJ6:BK36">
    <cfRule type="cellIs" dxfId="0" priority="24" operator="greaterThan">
      <formula>40</formula>
    </cfRule>
  </conditionalFormatting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2月CEMS日監測</vt:lpstr>
      <vt:lpstr>1月CEMS日監測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BT2025-9</cp:lastModifiedBy>
  <cp:lastPrinted>2025-04-07T07:54:54Z</cp:lastPrinted>
  <dcterms:created xsi:type="dcterms:W3CDTF">2025-01-03T05:42:27Z</dcterms:created>
  <dcterms:modified xsi:type="dcterms:W3CDTF">2026-02-02T09:27:58Z</dcterms:modified>
</cp:coreProperties>
</file>