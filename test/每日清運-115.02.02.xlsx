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地磅專用\信鼎技術服務(股)公司\日報\115年\"/>
    </mc:Choice>
  </mc:AlternateContent>
  <xr:revisionPtr revIDLastSave="0" documentId="13_ncr:1_{7C4962CC-A79B-4404-808C-232E70E1796E}" xr6:coauthVersionLast="47" xr6:coauthVersionMax="47" xr10:uidLastSave="{00000000-0000-0000-0000-000000000000}"/>
  <bookViews>
    <workbookView xWindow="-120" yWindow="-120" windowWidth="29040" windowHeight="15840" activeTab="1" xr2:uid="{0752AB91-7434-46BB-A851-86807CA3E70C}"/>
  </bookViews>
  <sheets>
    <sheet name="工作表1" sheetId="1" r:id="rId1"/>
    <sheet name="修正版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7" i="3" l="1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Q41" i="3" l="1"/>
  <c r="Q42" i="3" a="1"/>
  <c r="Q42" i="3" s="1"/>
  <c r="Q43" i="3"/>
  <c r="Q45" i="3"/>
  <c r="Q46" i="3"/>
  <c r="Q47" i="3"/>
  <c r="Q48" i="3"/>
  <c r="Q49" i="3"/>
  <c r="Q50" i="3"/>
  <c r="Q51" i="3"/>
  <c r="Q52" i="3"/>
  <c r="Q53" i="3"/>
  <c r="Q54" i="3"/>
  <c r="Q55" i="3"/>
  <c r="R12" i="3"/>
  <c r="Q12" i="3"/>
  <c r="R57" i="3"/>
  <c r="R44" i="3" s="1"/>
  <c r="R56" i="3"/>
  <c r="R40" i="3" s="1"/>
  <c r="Q57" i="3"/>
  <c r="Q44" i="3" s="1"/>
  <c r="Q56" i="3"/>
  <c r="Q40" i="3" s="1"/>
  <c r="R55" i="3" l="1"/>
  <c r="S15" i="3"/>
  <c r="T15" i="3"/>
  <c r="R50" i="3" l="1"/>
  <c r="R13" i="3" l="1"/>
  <c r="R14" i="3"/>
  <c r="Q13" i="3"/>
  <c r="Q14" i="3"/>
  <c r="T35" i="3"/>
  <c r="S35" i="3"/>
  <c r="S34" i="3"/>
  <c r="T34" i="3" l="1"/>
  <c r="T32" i="3"/>
  <c r="S32" i="3"/>
  <c r="T20" i="3"/>
  <c r="S20" i="3"/>
  <c r="S19" i="3"/>
  <c r="T19" i="3"/>
  <c r="S9" i="3"/>
  <c r="Q20" i="3"/>
  <c r="R53" i="3" l="1"/>
  <c r="T9" i="3"/>
  <c r="R20" i="3"/>
  <c r="R24" i="3"/>
  <c r="Q24" i="3"/>
  <c r="Q66" i="3"/>
  <c r="R66" i="3"/>
  <c r="R65" i="3"/>
  <c r="Q65" i="3"/>
  <c r="R25" i="3"/>
  <c r="Q25" i="3"/>
  <c r="T31" i="3"/>
  <c r="S31" i="3"/>
  <c r="S30" i="3"/>
  <c r="S29" i="3"/>
  <c r="T18" i="3" l="1"/>
  <c r="S18" i="3"/>
  <c r="T10" i="3"/>
  <c r="S10" i="3"/>
  <c r="R54" i="3"/>
  <c r="R15" i="3"/>
  <c r="Q15" i="3"/>
  <c r="R69" i="3"/>
  <c r="Q69" i="3"/>
  <c r="R64" i="3"/>
  <c r="Q64" i="3"/>
  <c r="R63" i="3"/>
  <c r="Q63" i="3"/>
  <c r="R62" i="3"/>
  <c r="Q62" i="3"/>
  <c r="R52" i="3"/>
  <c r="R51" i="3"/>
  <c r="R49" i="3"/>
  <c r="R48" i="3"/>
  <c r="R47" i="3"/>
  <c r="R46" i="3"/>
  <c r="R45" i="3"/>
  <c r="R43" i="3"/>
  <c r="R42" i="3"/>
  <c r="R41" i="3"/>
  <c r="T33" i="3"/>
  <c r="S33" i="3"/>
  <c r="T30" i="3"/>
  <c r="T29" i="3"/>
  <c r="T28" i="3"/>
  <c r="S28" i="3"/>
  <c r="T27" i="3"/>
  <c r="S27" i="3"/>
  <c r="T26" i="3"/>
  <c r="S26" i="3"/>
  <c r="R23" i="3"/>
  <c r="Q23" i="3"/>
  <c r="R22" i="3"/>
  <c r="Q22" i="3"/>
  <c r="R21" i="3"/>
  <c r="Q21" i="3"/>
  <c r="T17" i="3"/>
  <c r="S17" i="3"/>
  <c r="T16" i="3"/>
  <c r="S16" i="3"/>
  <c r="T14" i="3"/>
  <c r="S14" i="3"/>
  <c r="T13" i="3"/>
  <c r="S13" i="3"/>
  <c r="T12" i="3"/>
  <c r="S12" i="3"/>
  <c r="T11" i="3"/>
  <c r="S11" i="3"/>
  <c r="R11" i="3"/>
  <c r="Q11" i="3"/>
  <c r="R9" i="3"/>
  <c r="Q9" i="3"/>
  <c r="T8" i="3"/>
  <c r="S8" i="3"/>
  <c r="R8" i="3"/>
  <c r="Q8" i="3"/>
  <c r="T7" i="3"/>
  <c r="S7" i="3"/>
  <c r="R7" i="3"/>
  <c r="Q7" i="3"/>
  <c r="T6" i="3"/>
  <c r="S6" i="3"/>
  <c r="R6" i="3"/>
  <c r="Q6" i="3"/>
  <c r="T5" i="3"/>
  <c r="S5" i="3"/>
  <c r="R5" i="3"/>
  <c r="Q5" i="3"/>
  <c r="T4" i="3"/>
  <c r="S4" i="3"/>
  <c r="R4" i="3"/>
  <c r="Q4" i="3"/>
  <c r="R58" i="3" l="1"/>
  <c r="R74" i="3" s="1"/>
  <c r="S36" i="3"/>
  <c r="Q73" i="3" s="1"/>
  <c r="T36" i="3"/>
  <c r="R73" i="3" s="1"/>
  <c r="Q36" i="3"/>
  <c r="Q72" i="3" s="1"/>
  <c r="R36" i="3"/>
  <c r="R72" i="3" s="1"/>
  <c r="Q25" i="1"/>
  <c r="R75" i="3" l="1"/>
  <c r="R46" i="1"/>
  <c r="Q46" i="1"/>
  <c r="R42" i="1"/>
  <c r="Q42" i="1"/>
  <c r="R41" i="1"/>
  <c r="Q41" i="1"/>
  <c r="Q20" i="1" s="1"/>
  <c r="R40" i="1"/>
  <c r="Q40" i="1"/>
  <c r="R35" i="1"/>
  <c r="Q35" i="1"/>
  <c r="R34" i="1"/>
  <c r="Q34" i="1"/>
  <c r="R33" i="1"/>
  <c r="Q33" i="1"/>
  <c r="R32" i="1"/>
  <c r="Q32" i="1"/>
  <c r="R31" i="1"/>
  <c r="Q31" i="1"/>
  <c r="R30" i="1"/>
  <c r="Q30" i="1"/>
  <c r="R25" i="1"/>
  <c r="R24" i="1"/>
  <c r="Q24" i="1"/>
  <c r="R23" i="1"/>
  <c r="Q23" i="1"/>
  <c r="R22" i="1"/>
  <c r="Q22" i="1"/>
  <c r="R21" i="1"/>
  <c r="Q21" i="1"/>
  <c r="R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50" i="1" l="1"/>
  <c r="Q36" i="1"/>
  <c r="Q51" i="1" s="1"/>
  <c r="Q52" i="1" s="1"/>
  <c r="R36" i="1"/>
  <c r="R51" i="1" s="1"/>
  <c r="Q49" i="1"/>
  <c r="R49" i="1"/>
  <c r="R52" i="1" s="1"/>
  <c r="R26" i="1"/>
  <c r="Q50" i="1"/>
  <c r="Q26" i="1"/>
  <c r="Q58" i="3" l="1"/>
  <c r="Q74" i="3" s="1"/>
  <c r="Q75" i="3" s="1"/>
</calcChain>
</file>

<file path=xl/sharedStrings.xml><?xml version="1.0" encoding="utf-8"?>
<sst xmlns="http://schemas.openxmlformats.org/spreadsheetml/2006/main" count="620" uniqueCount="197">
  <si>
    <t>序號</t>
  </si>
  <si>
    <t>車號</t>
  </si>
  <si>
    <t>卡號</t>
  </si>
  <si>
    <t>機構名稱</t>
  </si>
  <si>
    <t>日期</t>
  </si>
  <si>
    <t>進廠</t>
  </si>
  <si>
    <t>出廠</t>
  </si>
  <si>
    <t>垃圾來源</t>
  </si>
  <si>
    <t>垃圾種類</t>
  </si>
  <si>
    <t>總重</t>
  </si>
  <si>
    <t>空重</t>
  </si>
  <si>
    <t>淨重</t>
  </si>
  <si>
    <t>備註</t>
    <phoneticPr fontId="1" type="noConversion"/>
  </si>
  <si>
    <t>日期</t>
    <phoneticPr fontId="1" type="noConversion"/>
  </si>
  <si>
    <t>編號</t>
    <phoneticPr fontId="1" type="noConversion"/>
  </si>
  <si>
    <t>機關進廠車輛</t>
    <phoneticPr fontId="1" type="noConversion"/>
  </si>
  <si>
    <t>車數</t>
  </si>
  <si>
    <t>淨重</t>
    <phoneticPr fontId="1" type="noConversion"/>
  </si>
  <si>
    <t>進廠檢查統計表</t>
    <phoneticPr fontId="1" type="noConversion"/>
  </si>
  <si>
    <t>臺東市公所</t>
    <phoneticPr fontId="1" type="noConversion"/>
  </si>
  <si>
    <t>落地檢查</t>
    <phoneticPr fontId="1" type="noConversion"/>
  </si>
  <si>
    <t>卑南鄉公所</t>
  </si>
  <si>
    <t>太麻里鄉公所</t>
  </si>
  <si>
    <t>檢查數</t>
    <phoneticPr fontId="1" type="noConversion"/>
  </si>
  <si>
    <t>金峰鄉公所</t>
  </si>
  <si>
    <t>違規數</t>
    <phoneticPr fontId="1" type="noConversion"/>
  </si>
  <si>
    <t>海端鄉公所</t>
  </si>
  <si>
    <t>各鄉鎮清運計畫</t>
  </si>
  <si>
    <t>關山鎮公所</t>
  </si>
  <si>
    <t>池上鄉公所</t>
  </si>
  <si>
    <t>事業廢棄物</t>
  </si>
  <si>
    <t>鹿野鄉公所</t>
    <phoneticPr fontId="1" type="noConversion"/>
  </si>
  <si>
    <t>延平鄉公所</t>
    <phoneticPr fontId="1" type="noConversion"/>
  </si>
  <si>
    <t>達仁鄉公所</t>
  </si>
  <si>
    <t>大武鄉公所</t>
  </si>
  <si>
    <t>東河鄉公所</t>
  </si>
  <si>
    <t>成功鎮公所</t>
  </si>
  <si>
    <t>長濱鄉公所</t>
  </si>
  <si>
    <t>綠島鄉公所</t>
  </si>
  <si>
    <t>蘭嶼鄉公所</t>
  </si>
  <si>
    <t>臺東縣環境保護局(廢管科)</t>
    <phoneticPr fontId="1" type="noConversion"/>
  </si>
  <si>
    <t>臺東縣環境保護局(綜計科)</t>
    <phoneticPr fontId="1" type="noConversion"/>
  </si>
  <si>
    <t>臺東縣環境保護局(空噪科)</t>
    <phoneticPr fontId="1" type="noConversion"/>
  </si>
  <si>
    <t>建農掩埋場</t>
  </si>
  <si>
    <t>臺東縣政府農業處</t>
  </si>
  <si>
    <t>合計</t>
    <phoneticPr fontId="1" type="noConversion"/>
  </si>
  <si>
    <t>事廢進廠車輛</t>
    <phoneticPr fontId="1" type="noConversion"/>
  </si>
  <si>
    <t>達亨環保科技有限公司</t>
  </si>
  <si>
    <t>群達環保股份有限公司</t>
    <phoneticPr fontId="1" type="noConversion"/>
  </si>
  <si>
    <t>盛輝五金企業社</t>
    <phoneticPr fontId="1" type="noConversion"/>
  </si>
  <si>
    <t>國楓工程行</t>
    <phoneticPr fontId="1" type="noConversion"/>
  </si>
  <si>
    <t>鐵支環保科技企業社</t>
    <phoneticPr fontId="1" type="noConversion"/>
  </si>
  <si>
    <t>力優勢環保股份有限公司</t>
    <phoneticPr fontId="1" type="noConversion"/>
  </si>
  <si>
    <t>清運(搬出)</t>
    <phoneticPr fontId="1" type="noConversion"/>
  </si>
  <si>
    <t>底渣</t>
    <phoneticPr fontId="1" type="noConversion"/>
  </si>
  <si>
    <t>飛灰穩定化物</t>
    <phoneticPr fontId="1" type="noConversion"/>
  </si>
  <si>
    <t>廚餘</t>
    <phoneticPr fontId="1" type="noConversion"/>
  </si>
  <si>
    <t>其他</t>
    <phoneticPr fontId="1" type="noConversion"/>
  </si>
  <si>
    <t>榮福股份有限公司</t>
    <phoneticPr fontId="1" type="noConversion"/>
  </si>
  <si>
    <t>本日統計</t>
    <phoneticPr fontId="1" type="noConversion"/>
  </si>
  <si>
    <t>事業廢棄物</t>
    <phoneticPr fontId="1" type="noConversion"/>
  </si>
  <si>
    <t>目視檢查</t>
    <phoneticPr fontId="1" type="noConversion"/>
  </si>
  <si>
    <t>卑南鄉公所(打包物轉運)</t>
    <phoneticPr fontId="1" type="noConversion"/>
  </si>
  <si>
    <t>公所自行進廠(扣除廚餘搬出重量)</t>
    <phoneticPr fontId="1" type="noConversion"/>
  </si>
  <si>
    <t>本日進廠合計(扣除廚餘搬出重量)</t>
    <phoneticPr fontId="1" type="noConversion"/>
  </si>
  <si>
    <t>執行機關自行進廠</t>
    <phoneticPr fontId="1" type="noConversion"/>
  </si>
  <si>
    <t>執行機關自行進廠(扣除廚餘搬出重量)</t>
    <phoneticPr fontId="1" type="noConversion"/>
  </si>
  <si>
    <t>-</t>
    <phoneticPr fontId="1" type="noConversion"/>
  </si>
  <si>
    <t>非執行機關進廠(透過環保局進廠)</t>
    <phoneticPr fontId="1" type="noConversion"/>
  </si>
  <si>
    <t>進廠來源</t>
    <phoneticPr fontId="1" type="noConversion"/>
  </si>
  <si>
    <t>池上鄉公所</t>
    <phoneticPr fontId="1" type="noConversion"/>
  </si>
  <si>
    <t>水肥</t>
  </si>
  <si>
    <t>太煌企業有限公司</t>
  </si>
  <si>
    <t>東紘企業社</t>
    <phoneticPr fontId="1" type="noConversion"/>
  </si>
  <si>
    <t>東陞環保科技有限公司</t>
    <phoneticPr fontId="1" type="noConversion"/>
  </si>
  <si>
    <t>富士環保企業社</t>
    <phoneticPr fontId="1" type="noConversion"/>
  </si>
  <si>
    <t>協聯企業社</t>
    <phoneticPr fontId="1" type="noConversion"/>
  </si>
  <si>
    <t>臺東市建農掩埋場</t>
    <phoneticPr fontId="1" type="noConversion"/>
  </si>
  <si>
    <t>達仁鄉公所</t>
    <phoneticPr fontId="1" type="noConversion"/>
  </si>
  <si>
    <t>臺東縣政府農業處</t>
    <phoneticPr fontId="1" type="noConversion"/>
  </si>
  <si>
    <t>蘭嶼鄉公所(小犬颱風)</t>
    <phoneticPr fontId="1" type="noConversion"/>
  </si>
  <si>
    <t>天然興業有限公司</t>
  </si>
  <si>
    <t>臺東縣關山鎮公所</t>
    <phoneticPr fontId="1" type="noConversion"/>
  </si>
  <si>
    <t>震聲環保有限公司</t>
    <phoneticPr fontId="1" type="noConversion"/>
  </si>
  <si>
    <t>臺東縣池上鄉公所</t>
    <phoneticPr fontId="1" type="noConversion"/>
  </si>
  <si>
    <t xml:space="preserve">               執行機關進廠</t>
    <phoneticPr fontId="1" type="noConversion"/>
  </si>
  <si>
    <t xml:space="preserve">                非執行機關進廠</t>
    <phoneticPr fontId="1" type="noConversion"/>
  </si>
  <si>
    <t>專案進廠</t>
    <phoneticPr fontId="1" type="noConversion"/>
  </si>
  <si>
    <t>臺東縣太麻里鄉公所</t>
  </si>
  <si>
    <t>國楓工程行(農廢)</t>
    <phoneticPr fontId="1" type="noConversion"/>
  </si>
  <si>
    <t>信鼎技術服務(股)公司</t>
  </si>
  <si>
    <t>臺東縣東河鄉公所</t>
  </si>
  <si>
    <t>臺東市公所(樹枝)</t>
  </si>
  <si>
    <t>環保局運出廢鐵</t>
  </si>
  <si>
    <t xml:space="preserve">            </t>
    <phoneticPr fontId="1" type="noConversion"/>
  </si>
  <si>
    <t>高雄市環境保護局(連祥)</t>
    <phoneticPr fontId="1" type="noConversion"/>
  </si>
  <si>
    <t>大正環保企業社</t>
    <phoneticPr fontId="1" type="noConversion"/>
  </si>
  <si>
    <t>臺東縣達仁鄉公所</t>
    <phoneticPr fontId="1" type="noConversion"/>
  </si>
  <si>
    <t>花蓮縣環境保護局(聚得)</t>
    <phoneticPr fontId="1" type="noConversion"/>
  </si>
  <si>
    <t>南投縣環境保護局(永利)</t>
    <phoneticPr fontId="1" type="noConversion"/>
  </si>
  <si>
    <t>-</t>
    <phoneticPr fontId="1" type="noConversion"/>
  </si>
  <si>
    <t>兆恆能資科技(股)公司</t>
    <phoneticPr fontId="1" type="noConversion"/>
  </si>
  <si>
    <t>*廚餘</t>
    <phoneticPr fontId="1" type="noConversion"/>
  </si>
  <si>
    <t>臺東縣垃圾</t>
    <phoneticPr fontId="1" type="noConversion"/>
  </si>
  <si>
    <t>臺東縣一般垃圾</t>
    <phoneticPr fontId="1" type="noConversion"/>
  </si>
  <si>
    <t>114年花蓮家戶垃圾轉運</t>
    <phoneticPr fontId="1" type="noConversion"/>
  </si>
  <si>
    <t>一般廢棄物</t>
    <phoneticPr fontId="1" type="noConversion"/>
  </si>
  <si>
    <t>花蓮縣</t>
    <phoneticPr fontId="1" type="noConversion"/>
  </si>
  <si>
    <t>KEP-9589</t>
    <phoneticPr fontId="1" type="noConversion"/>
  </si>
  <si>
    <t>114年南投家戶垃圾轉運</t>
    <phoneticPr fontId="1" type="noConversion"/>
  </si>
  <si>
    <t>南投縣</t>
    <phoneticPr fontId="1" type="noConversion"/>
  </si>
  <si>
    <t>KEP-9627</t>
    <phoneticPr fontId="1" type="noConversion"/>
  </si>
  <si>
    <t>KEP-9597</t>
    <phoneticPr fontId="1" type="noConversion"/>
  </si>
  <si>
    <t>KEP-9599</t>
    <phoneticPr fontId="1" type="noConversion"/>
  </si>
  <si>
    <t>KEP-9637</t>
    <phoneticPr fontId="1" type="noConversion"/>
  </si>
  <si>
    <t>KEF-6767</t>
    <phoneticPr fontId="1" type="noConversion"/>
  </si>
  <si>
    <t>KEP-9598</t>
    <phoneticPr fontId="1" type="noConversion"/>
  </si>
  <si>
    <t>KEP-9628</t>
    <phoneticPr fontId="1" type="noConversion"/>
  </si>
  <si>
    <t>KEH-5110</t>
    <phoneticPr fontId="1" type="noConversion"/>
  </si>
  <si>
    <t>KEC-9687群</t>
    <phoneticPr fontId="1" type="noConversion"/>
  </si>
  <si>
    <t>可燃性事業廢棄物</t>
    <phoneticPr fontId="1" type="noConversion"/>
  </si>
  <si>
    <t>一般事業廢棄物</t>
    <phoneticPr fontId="1" type="noConversion"/>
  </si>
  <si>
    <t>KEL-5998</t>
    <phoneticPr fontId="1" type="noConversion"/>
  </si>
  <si>
    <t>KEH-5100</t>
    <phoneticPr fontId="1" type="noConversion"/>
  </si>
  <si>
    <t>太麻里鄉公所</t>
    <phoneticPr fontId="1" type="noConversion"/>
  </si>
  <si>
    <t>KED-8367</t>
    <phoneticPr fontId="1" type="noConversion"/>
  </si>
  <si>
    <t>KEP-9638</t>
    <phoneticPr fontId="1" type="noConversion"/>
  </si>
  <si>
    <t>KEM-8510備</t>
    <phoneticPr fontId="1" type="noConversion"/>
  </si>
  <si>
    <t>BEZ-3022廚</t>
    <phoneticPr fontId="1" type="noConversion"/>
  </si>
  <si>
    <t>達亨環保科技有限公司</t>
    <phoneticPr fontId="1" type="noConversion"/>
  </si>
  <si>
    <t>事廢-廚餘</t>
    <phoneticPr fontId="1" type="noConversion"/>
  </si>
  <si>
    <t>KES-7209</t>
    <phoneticPr fontId="1" type="noConversion"/>
  </si>
  <si>
    <t>500-Y8</t>
    <phoneticPr fontId="1" type="noConversion"/>
  </si>
  <si>
    <t>KEP-6200</t>
    <phoneticPr fontId="1" type="noConversion"/>
  </si>
  <si>
    <t>KEP-7923群</t>
    <phoneticPr fontId="1" type="noConversion"/>
  </si>
  <si>
    <t>BCX-9378廚</t>
    <phoneticPr fontId="1" type="noConversion"/>
  </si>
  <si>
    <t>BXT-2067備</t>
    <phoneticPr fontId="1" type="noConversion"/>
  </si>
  <si>
    <t>KEH-5218</t>
    <phoneticPr fontId="1" type="noConversion"/>
  </si>
  <si>
    <t>309-VT</t>
    <phoneticPr fontId="1" type="noConversion"/>
  </si>
  <si>
    <t>卑南鄉公所</t>
    <phoneticPr fontId="1" type="noConversion"/>
  </si>
  <si>
    <t>KEH-5126</t>
    <phoneticPr fontId="1" type="noConversion"/>
  </si>
  <si>
    <t>KEF-6763</t>
    <phoneticPr fontId="1" type="noConversion"/>
  </si>
  <si>
    <t>KEF-6780</t>
    <phoneticPr fontId="1" type="noConversion"/>
  </si>
  <si>
    <t>KEM-8172</t>
    <phoneticPr fontId="1" type="noConversion"/>
  </si>
  <si>
    <t>KEH-5193</t>
    <phoneticPr fontId="1" type="noConversion"/>
  </si>
  <si>
    <t>KEM-8325備</t>
    <phoneticPr fontId="1" type="noConversion"/>
  </si>
  <si>
    <t>196-VT</t>
    <phoneticPr fontId="1" type="noConversion"/>
  </si>
  <si>
    <t>KEM-8575</t>
    <phoneticPr fontId="1" type="noConversion"/>
  </si>
  <si>
    <t>KEH-5109</t>
    <phoneticPr fontId="1" type="noConversion"/>
  </si>
  <si>
    <t>KEH-5125</t>
    <phoneticPr fontId="1" type="noConversion"/>
  </si>
  <si>
    <t>KEM-8817</t>
    <phoneticPr fontId="1" type="noConversion"/>
  </si>
  <si>
    <t>KEF-5180</t>
    <phoneticPr fontId="1" type="noConversion"/>
  </si>
  <si>
    <t>KEM-8815</t>
    <phoneticPr fontId="1" type="noConversion"/>
  </si>
  <si>
    <t>KEL-3995</t>
    <phoneticPr fontId="1" type="noConversion"/>
  </si>
  <si>
    <t>AWX-3020廚</t>
    <phoneticPr fontId="1" type="noConversion"/>
  </si>
  <si>
    <t>KEM-8821</t>
    <phoneticPr fontId="1" type="noConversion"/>
  </si>
  <si>
    <t>KEL-3991</t>
    <phoneticPr fontId="1" type="noConversion"/>
  </si>
  <si>
    <t>KEF-5181</t>
    <phoneticPr fontId="1" type="noConversion"/>
  </si>
  <si>
    <t>KEQ-0558</t>
    <phoneticPr fontId="1" type="noConversion"/>
  </si>
  <si>
    <t>KLJ-5835友</t>
    <phoneticPr fontId="1" type="noConversion"/>
  </si>
  <si>
    <t>榮寶企業股份有限公司</t>
    <phoneticPr fontId="1" type="noConversion"/>
  </si>
  <si>
    <t>臺東縣底渣委託處理計畫</t>
    <phoneticPr fontId="1" type="noConversion"/>
  </si>
  <si>
    <t>運出底渣</t>
    <phoneticPr fontId="1" type="noConversion"/>
  </si>
  <si>
    <t>KLE-0180宇</t>
    <phoneticPr fontId="1" type="noConversion"/>
  </si>
  <si>
    <t>KLQ-1199宇</t>
    <phoneticPr fontId="1" type="noConversion"/>
  </si>
  <si>
    <t>KLF-2730宇</t>
    <phoneticPr fontId="1" type="noConversion"/>
  </si>
  <si>
    <t>355-VT東</t>
    <phoneticPr fontId="1" type="noConversion"/>
  </si>
  <si>
    <t>598-VL</t>
    <phoneticPr fontId="1" type="noConversion"/>
  </si>
  <si>
    <t>KLJ-3700宇</t>
    <phoneticPr fontId="1" type="noConversion"/>
  </si>
  <si>
    <t>KEF-5216</t>
    <phoneticPr fontId="1" type="noConversion"/>
  </si>
  <si>
    <t>KED-8330</t>
    <phoneticPr fontId="1" type="noConversion"/>
  </si>
  <si>
    <t>臺東縣森林公園</t>
    <phoneticPr fontId="1" type="noConversion"/>
  </si>
  <si>
    <t>KEP-9596</t>
    <phoneticPr fontId="1" type="noConversion"/>
  </si>
  <si>
    <t>KEM-8326</t>
    <phoneticPr fontId="1" type="noConversion"/>
  </si>
  <si>
    <t>AAN-225</t>
    <phoneticPr fontId="1" type="noConversion"/>
  </si>
  <si>
    <t>KEF-5210</t>
    <phoneticPr fontId="1" type="noConversion"/>
  </si>
  <si>
    <t>金峰鄉公所</t>
    <phoneticPr fontId="1" type="noConversion"/>
  </si>
  <si>
    <t>KEF-5102事</t>
    <phoneticPr fontId="1" type="noConversion"/>
  </si>
  <si>
    <t>201-TF事</t>
    <phoneticPr fontId="1" type="noConversion"/>
  </si>
  <si>
    <t>377-Y8事</t>
    <phoneticPr fontId="1" type="noConversion"/>
  </si>
  <si>
    <t>410-RC事</t>
    <phoneticPr fontId="1" type="noConversion"/>
  </si>
  <si>
    <t>KEF-6793</t>
    <phoneticPr fontId="1" type="noConversion"/>
  </si>
  <si>
    <t>台東市公所清潔隊</t>
    <phoneticPr fontId="1" type="noConversion"/>
  </si>
  <si>
    <t>台東市公所框式廚餘車</t>
    <phoneticPr fontId="1" type="noConversion"/>
  </si>
  <si>
    <t>廚餘</t>
    <phoneticPr fontId="1" type="noConversion"/>
  </si>
  <si>
    <t>KEH-5218</t>
    <phoneticPr fontId="1" type="noConversion"/>
  </si>
  <si>
    <t>KEM-8815</t>
    <phoneticPr fontId="1" type="noConversion"/>
  </si>
  <si>
    <t>KEF-6780</t>
    <phoneticPr fontId="1" type="noConversion"/>
  </si>
  <si>
    <t>KEF-5181</t>
    <phoneticPr fontId="1" type="noConversion"/>
  </si>
  <si>
    <t>KEH-5193</t>
    <phoneticPr fontId="1" type="noConversion"/>
  </si>
  <si>
    <t>KEL-3995</t>
    <phoneticPr fontId="1" type="noConversion"/>
  </si>
  <si>
    <t>KEH-5125</t>
    <phoneticPr fontId="1" type="noConversion"/>
  </si>
  <si>
    <t>KEH-5109</t>
    <phoneticPr fontId="1" type="noConversion"/>
  </si>
  <si>
    <t>KEF-5180</t>
    <phoneticPr fontId="1" type="noConversion"/>
  </si>
  <si>
    <t>KEM-8817</t>
    <phoneticPr fontId="1" type="noConversion"/>
  </si>
  <si>
    <t>KEM-8821</t>
    <phoneticPr fontId="1" type="noConversion"/>
  </si>
  <si>
    <t>KEL-3991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</si>
</sst>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.0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3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21" fontId="0" fillId="0" borderId="4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1874-8575-4B79-BD91-54CB31FAAE9A}">
  <dimension ref="A2:W52"/>
  <sheetViews>
    <sheetView workbookViewId="0">
      <selection activeCell="K24" sqref="K24"/>
    </sheetView>
  </sheetViews>
  <sheetFormatPr defaultRowHeight="16.5" x14ac:dyDescent="0.25"/>
  <cols>
    <col min="15" max="15" width="5.75" bestFit="1" customWidth="1"/>
    <col min="16" max="16" width="33.25" bestFit="1" customWidth="1"/>
    <col min="20" max="20" width="18.625" bestFit="1" customWidth="1"/>
    <col min="21" max="21" width="7.75" bestFit="1" customWidth="1"/>
    <col min="22" max="23" width="9.75" bestFit="1" customWidth="1"/>
  </cols>
  <sheetData>
    <row r="2" spans="1:2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/>
      <c r="O2" s="46" t="s">
        <v>13</v>
      </c>
      <c r="P2" s="46"/>
      <c r="Q2" s="47"/>
      <c r="R2" s="46"/>
      <c r="S2" s="2"/>
      <c r="T2" s="2"/>
      <c r="U2" s="2"/>
      <c r="V2" s="2"/>
      <c r="W2" s="2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14</v>
      </c>
      <c r="P3" s="11" t="s">
        <v>15</v>
      </c>
      <c r="Q3" s="11" t="s">
        <v>16</v>
      </c>
      <c r="R3" s="11" t="s">
        <v>17</v>
      </c>
      <c r="S3" s="2"/>
      <c r="T3" s="45" t="s">
        <v>18</v>
      </c>
      <c r="U3" s="45"/>
      <c r="V3" s="45"/>
      <c r="W3" s="45"/>
    </row>
    <row r="4" spans="1:2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>
        <v>1</v>
      </c>
      <c r="P4" s="13" t="s">
        <v>19</v>
      </c>
      <c r="Q4" s="4">
        <f>SUMPRODUCT(($E:$E=$Q$2)*($D:$D=$P4))</f>
        <v>0</v>
      </c>
      <c r="R4" s="14">
        <f>SUMPRODUCT(($E:$E=$Q$2)*($D:$D=$P4),$L:$L)</f>
        <v>0</v>
      </c>
      <c r="S4" s="2"/>
      <c r="T4" s="50"/>
      <c r="U4" s="51"/>
      <c r="V4" s="3" t="s">
        <v>61</v>
      </c>
      <c r="W4" s="5" t="s">
        <v>20</v>
      </c>
    </row>
    <row r="5" spans="1:2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>
        <v>2</v>
      </c>
      <c r="P5" s="13" t="s">
        <v>21</v>
      </c>
      <c r="Q5" s="4">
        <f>SUMPRODUCT(($E:$E=$Q$2)*($D:$D=$P5))</f>
        <v>0</v>
      </c>
      <c r="R5" s="14">
        <f>SUMPRODUCT(($E:$E=$Q$2)*($D:$D=$P5),$L:$L)</f>
        <v>0</v>
      </c>
      <c r="S5" s="2"/>
      <c r="T5" s="52" t="s">
        <v>65</v>
      </c>
      <c r="U5" s="3" t="s">
        <v>23</v>
      </c>
      <c r="V5" s="3"/>
      <c r="W5" s="5"/>
    </row>
    <row r="6" spans="1:2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>
        <v>3</v>
      </c>
      <c r="P6" s="13" t="s">
        <v>22</v>
      </c>
      <c r="Q6" s="4">
        <f>SUMPRODUCT(($E:$E=$Q$2)*($D:$D=$P6))</f>
        <v>0</v>
      </c>
      <c r="R6" s="14">
        <f>SUMPRODUCT(($E:$E=$Q$2)*($D:$D=$P6),$L:$L)</f>
        <v>0</v>
      </c>
      <c r="S6" s="2"/>
      <c r="T6" s="53"/>
      <c r="U6" s="4" t="s">
        <v>25</v>
      </c>
      <c r="V6" s="3"/>
      <c r="W6" s="3"/>
    </row>
    <row r="7" spans="1:2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>
        <v>4</v>
      </c>
      <c r="P7" s="13" t="s">
        <v>24</v>
      </c>
      <c r="Q7" s="4">
        <f>SUMPRODUCT(($E:$E=$Q$2)*($D:$D=$P7))</f>
        <v>0</v>
      </c>
      <c r="R7" s="14">
        <f>SUMPRODUCT(($E:$E=$Q$2)*($D:$D=$P7),$L:$L)</f>
        <v>0</v>
      </c>
      <c r="S7" s="2"/>
      <c r="T7" s="52" t="s">
        <v>27</v>
      </c>
      <c r="U7" s="3" t="s">
        <v>23</v>
      </c>
      <c r="V7" s="3"/>
      <c r="W7" s="3"/>
    </row>
    <row r="8" spans="1:2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>
        <v>5</v>
      </c>
      <c r="P8" s="13" t="s">
        <v>26</v>
      </c>
      <c r="Q8" s="4">
        <f>SUMPRODUCT(($E:$E=$Q$2)*($D:$D=$P8))+SUMPRODUCT(($E:$E=$Q$2)*($D:$D=$P$20)*($M:$M="海端鄉"))</f>
        <v>0</v>
      </c>
      <c r="R8" s="14">
        <f>SUMPRODUCT(($E:$E=$Q$2)*($D:$D=$P8),$L:$L)+SUMPRODUCT(($E:$E=$Q$2)*($D:$D=$P$20)*($M:$M="海端鄉"),$L:$L)</f>
        <v>0</v>
      </c>
      <c r="S8" s="2"/>
      <c r="T8" s="53"/>
      <c r="U8" s="4" t="s">
        <v>25</v>
      </c>
      <c r="V8" s="5"/>
      <c r="W8" s="5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>
        <v>6</v>
      </c>
      <c r="P9" s="13" t="s">
        <v>28</v>
      </c>
      <c r="Q9" s="4">
        <f>SUMPRODUCT(($E:$E=$Q$2)*($D:$D=$P9))+SUMPRODUCT(($E:$E=$Q$2)*($D:$D=$P$20)*($M:$M="關山鎮"))</f>
        <v>0</v>
      </c>
      <c r="R9" s="14">
        <f>SUMPRODUCT(($E:$E=$Q$2)*($D:$D=$P9),$L:$L)+SUMPRODUCT(($E:$E=$Q$2)*($D:$D=$P$20)*($M:$M="關山鎮"),$L:$L)</f>
        <v>0</v>
      </c>
      <c r="S9" s="2"/>
      <c r="T9" s="52" t="s">
        <v>30</v>
      </c>
      <c r="U9" s="3" t="s">
        <v>23</v>
      </c>
      <c r="V9" s="3"/>
      <c r="W9" s="3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>
        <v>7</v>
      </c>
      <c r="P10" s="13" t="s">
        <v>29</v>
      </c>
      <c r="Q10" s="4">
        <f>SUMPRODUCT(($E:$E=$Q$2)*($D:$D=$P10))+SUMPRODUCT(($E:$E=$Q$2)*($D:$D=$P$20)*($M:$M="池上鄉"))</f>
        <v>0</v>
      </c>
      <c r="R10" s="14">
        <f>SUMPRODUCT(($E:$E=$Q$2)*($D:$D=$P10),$L:$L)+SUMPRODUCT(($E:$E=$Q$2)*($D:$D=$P$20)*($M:$M="池上鄉"),$L:$L)</f>
        <v>0</v>
      </c>
      <c r="S10" s="2"/>
      <c r="T10" s="53"/>
      <c r="U10" s="4" t="s">
        <v>25</v>
      </c>
      <c r="V10" s="3"/>
      <c r="W10" s="3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>
        <v>8</v>
      </c>
      <c r="P11" s="13" t="s">
        <v>31</v>
      </c>
      <c r="Q11" s="4">
        <f>SUMPRODUCT(($E:$E=$Q$2)*($D:$D=$P11))+SUMPRODUCT(($E:$E=$Q$2)*($D:$D=$P$20)*($M:$M="鹿野鄉"))</f>
        <v>0</v>
      </c>
      <c r="R11" s="14">
        <f>SUMPRODUCT(($E:$E=$Q$2)*($D:$D=$P11),$L:$L)+SUMPRODUCT(($E:$E=$Q$2)*($D:$D=$P$20)*($M:$M="鹿野鄉"),$L:$L)</f>
        <v>0</v>
      </c>
      <c r="S11" s="2"/>
      <c r="T11" s="2"/>
      <c r="V11" s="2"/>
      <c r="W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>
        <v>9</v>
      </c>
      <c r="P12" s="13" t="s">
        <v>32</v>
      </c>
      <c r="Q12" s="4">
        <f>SUMPRODUCT(($E:$E=$Q$2)*($D:$D=$P12))+SUMPRODUCT(($E:$E=$Q$2)*($D:$D=$P$20)*($M:$M="延平鄉"))</f>
        <v>0</v>
      </c>
      <c r="R12" s="14">
        <f>SUMPRODUCT(($E:$E=$Q$2)*($D:$D=$P12),$L:$L)+SUMPRODUCT(($E:$E=$Q$2)*($D:$D=$P$20)*($M:$M="延平鄉"),$L:$L)</f>
        <v>0</v>
      </c>
      <c r="S12" s="2"/>
      <c r="T12" s="2"/>
      <c r="U12" s="6"/>
      <c r="V12" s="6"/>
      <c r="W12" s="6"/>
    </row>
    <row r="13" spans="1:2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>
        <v>10</v>
      </c>
      <c r="P13" s="13" t="s">
        <v>33</v>
      </c>
      <c r="Q13" s="4">
        <f>SUMPRODUCT(($E:$E=$Q$2)*($D:$D=$P13))+SUMPRODUCT(($E:$E=$Q$2)*($D:$D=$P$20)*($M:$M="達仁鄉"))</f>
        <v>0</v>
      </c>
      <c r="R13" s="14">
        <f>SUMPRODUCT(($E:$E=$Q$2)*($D:$D=$P13),$L:$L)+SUMPRODUCT(($E:$E=$Q$2)*($D:$D=$P$20)*($M:$M="達仁鄉"),$L:$L)</f>
        <v>0</v>
      </c>
      <c r="S13" s="2"/>
      <c r="T13" s="2"/>
      <c r="U13" s="7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>
        <v>11</v>
      </c>
      <c r="P14" s="13" t="s">
        <v>34</v>
      </c>
      <c r="Q14" s="4">
        <f>SUMPRODUCT(($E:$E=$Q$2)*($D:$D=$P14))+SUMPRODUCT(($E:$E=$Q$2)*($D:$D=$P$20)*($M:$M="大武鄉"))</f>
        <v>0</v>
      </c>
      <c r="R14" s="14">
        <f>SUMPRODUCT(($E:$E=$Q$2)*($D:$D=$P14),$L:$L)+SUMPRODUCT(($E:$E=$Q$2)*($D:$D=$P$20)*($M:$M="大武鄉"),$L:$L)</f>
        <v>0</v>
      </c>
      <c r="S14" s="2"/>
      <c r="T14" s="2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>
        <v>12</v>
      </c>
      <c r="P15" s="13" t="s">
        <v>35</v>
      </c>
      <c r="Q15" s="4">
        <f>SUMPRODUCT(($E:$E=$Q$2)*($D:$D=$P15))+SUMPRODUCT(($E:$E=$Q$2)*($D:$D=$P$20)*($M:$M="東河鄉"))</f>
        <v>0</v>
      </c>
      <c r="R15" s="14">
        <f>SUMPRODUCT(($E:$E=$Q$2)*($D:$D=$P15),$L:$L)+SUMPRODUCT(($E:$E=$Q$2)*($D:$D=$P$20)*($M:$M="東河鄉"),$L:$L)</f>
        <v>0</v>
      </c>
      <c r="S15" s="2"/>
      <c r="T15" s="2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>
        <v>13</v>
      </c>
      <c r="P16" s="13" t="s">
        <v>36</v>
      </c>
      <c r="Q16" s="4">
        <f>SUMPRODUCT(($E:$E=$Q$2)*($D:$D=$P16))+SUMPRODUCT(($E:$E=$Q$2)*($D:$D=$P$20)*($M:$M="成功鎮"))</f>
        <v>0</v>
      </c>
      <c r="R16" s="14">
        <f>SUMPRODUCT(($E:$E=$Q$2)*($D:$D=$P16),$L:$L)+SUMPRODUCT(($E:$E=$Q$2)*($D:$D=$P$20)*($M:$M="成功鎮"),$L:$L)</f>
        <v>0</v>
      </c>
      <c r="S16" s="2"/>
      <c r="T16" s="2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>
        <v>14</v>
      </c>
      <c r="P17" s="13" t="s">
        <v>37</v>
      </c>
      <c r="Q17" s="4">
        <f>SUMPRODUCT(($E:$E=$Q$2)*($D:$D=$P17))+SUMPRODUCT(($E:$E=$Q$2)*($D:$D=$P$20)*($M:$M="長濱鄉"))</f>
        <v>0</v>
      </c>
      <c r="R17" s="14">
        <f>SUMPRODUCT(($E:$E=$Q$2)*($D:$D=$P17),$L:$L)+SUMPRODUCT(($E:$E=$Q$2)*($D:$D=$P$20)*($M:$M="長濱鄉"),$L:$L)</f>
        <v>0</v>
      </c>
      <c r="S17" s="2"/>
      <c r="T17" s="2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>
        <v>15</v>
      </c>
      <c r="P18" s="13" t="s">
        <v>38</v>
      </c>
      <c r="Q18" s="4">
        <f>SUMPRODUCT(($E:$E=$Q$2)*($D:$D=$P18))+SUMPRODUCT(($E:$E=$Q$2)*($D:$D=$P$20)*($M:$M="綠島鄉"))</f>
        <v>0</v>
      </c>
      <c r="R18" s="14">
        <f>SUMPRODUCT(($E:$E=$Q$2)*($D:$D=$P18),$L:$L)+SUMPRODUCT(($E:$E=$Q$2)*($D:$D=$P$20)*($M:$M="綠島鄉"),$L:$L)</f>
        <v>0</v>
      </c>
      <c r="S18" s="2"/>
      <c r="T18" s="2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>
        <v>16</v>
      </c>
      <c r="P19" s="13" t="s">
        <v>39</v>
      </c>
      <c r="Q19" s="4">
        <f>SUMPRODUCT(($E:$E=$Q$2)*($D:$D=$P19))+SUMPRODUCT(($E:$E=$Q$2)*($D:$D=$P$20)*($M:$M="蘭嶼鄉"))</f>
        <v>0</v>
      </c>
      <c r="R19" s="14">
        <f>SUMPRODUCT(($E:$E=$Q$2)*($D:$D=$P19),$L:$L)+SUMPRODUCT(($E:$E=$Q$2)*($D:$D=$P$20)*($M:$M="蘭嶼鄉"),$L:$L)</f>
        <v>0</v>
      </c>
      <c r="S19" s="2"/>
      <c r="T19" s="2"/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>
        <v>17</v>
      </c>
      <c r="P20" s="13" t="s">
        <v>40</v>
      </c>
      <c r="Q20" s="4">
        <f>SUMPRODUCT(($E:$E=$Q$2)*($D:$D=$P20)*($M:$M=""))-Q41</f>
        <v>0</v>
      </c>
      <c r="R20" s="14">
        <f>SUMPRODUCT(($E:$E=$Q$2)*($D:$D=$P20)*($M:$M=""),$L:$L)-R41</f>
        <v>0</v>
      </c>
      <c r="S20" s="2"/>
      <c r="T20" s="2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>
        <v>18</v>
      </c>
      <c r="P21" s="13" t="s">
        <v>41</v>
      </c>
      <c r="Q21" s="4">
        <f>SUMPRODUCT(($E:$E=$Q$2)*($D:$D=$P21))</f>
        <v>0</v>
      </c>
      <c r="R21" s="14">
        <f>SUMPRODUCT(($E:$E=$Q$2)*($D:$D=$P21),$L:$L)</f>
        <v>0</v>
      </c>
      <c r="S21" s="2"/>
      <c r="T21" s="2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>
        <v>19</v>
      </c>
      <c r="P22" s="13" t="s">
        <v>42</v>
      </c>
      <c r="Q22" s="4">
        <f>SUMPRODUCT(($E:$E=$Q$2)*($D:$D=$P22))</f>
        <v>0</v>
      </c>
      <c r="R22" s="14">
        <f>SUMPRODUCT(($E:$E=$Q$2)*($D:$D=$P22),$L:$L)</f>
        <v>0</v>
      </c>
      <c r="S22" s="2"/>
      <c r="T22" s="2"/>
      <c r="U22" s="2"/>
      <c r="V22" s="2"/>
      <c r="W22" s="2"/>
    </row>
    <row r="23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>
        <v>20</v>
      </c>
      <c r="P23" s="13" t="s">
        <v>43</v>
      </c>
      <c r="Q23" s="4">
        <f>SUMPRODUCT(($E:$E=$Q$2)*($D:$D=$P23))</f>
        <v>0</v>
      </c>
      <c r="R23" s="14">
        <f>SUMPRODUCT(($E:$E=$Q$2)*($D:$D=$P23),$L:$L)</f>
        <v>0</v>
      </c>
      <c r="S23" s="2"/>
      <c r="T23" s="2"/>
      <c r="U23" s="2"/>
      <c r="V23" s="2"/>
      <c r="W23" s="2"/>
    </row>
    <row r="24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>
        <v>21</v>
      </c>
      <c r="P24" s="13" t="s">
        <v>44</v>
      </c>
      <c r="Q24" s="4">
        <f>SUMPRODUCT(($E:$E=$Q$2)*($D:$D=$P24))</f>
        <v>0</v>
      </c>
      <c r="R24" s="14">
        <f>SUMPRODUCT(($E:$E=$Q$2)*($D:$D=$P24),$L:$L)</f>
        <v>0</v>
      </c>
      <c r="S24" s="2"/>
      <c r="T24" s="2"/>
      <c r="U24" s="2"/>
      <c r="V24" s="2"/>
      <c r="W24" s="2"/>
    </row>
    <row r="25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>
        <v>22</v>
      </c>
      <c r="P25" s="13" t="s">
        <v>62</v>
      </c>
      <c r="Q25" s="4">
        <f>SUMPRODUCT(($E:$E=$Q$2)*($D:$D=$P$20)*($M:$M="卑南鄉"))</f>
        <v>0</v>
      </c>
      <c r="R25" s="14">
        <f>SUMPRODUCT(($E:$E=$Q$2)*($D:$D=$P$20)*($M:$M="卑南鄉"),$L:$L)</f>
        <v>0</v>
      </c>
      <c r="S25" s="2"/>
      <c r="T25" s="2"/>
      <c r="U25" s="2"/>
      <c r="V25" s="2"/>
      <c r="W25" s="2"/>
    </row>
    <row r="26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48" t="s">
        <v>45</v>
      </c>
      <c r="P26" s="49"/>
      <c r="Q26" s="8">
        <f>SUM(Q4:Q25)</f>
        <v>0</v>
      </c>
      <c r="R26" s="9">
        <f>SUM(R4:R25)</f>
        <v>0</v>
      </c>
      <c r="S26" s="2"/>
      <c r="T26" s="2"/>
      <c r="U26" s="2"/>
      <c r="V26" s="2"/>
      <c r="W26" s="2"/>
    </row>
    <row r="27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 t="s">
        <v>14</v>
      </c>
      <c r="P29" s="11" t="s">
        <v>46</v>
      </c>
      <c r="Q29" s="11" t="s">
        <v>16</v>
      </c>
      <c r="R29" s="11" t="s">
        <v>17</v>
      </c>
      <c r="S29" s="2"/>
      <c r="T29" s="2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>
        <v>1</v>
      </c>
      <c r="P30" s="15" t="s">
        <v>47</v>
      </c>
      <c r="Q30" s="4">
        <f>SUMPRODUCT(($E:$E=$Q$2)*($D:$D=$P30))</f>
        <v>0</v>
      </c>
      <c r="R30" s="14">
        <f>SUMPRODUCT(($E:$E=$Q$2)*($D:$D=$P30),$L:$L)</f>
        <v>0</v>
      </c>
      <c r="S30" s="2"/>
      <c r="T30" s="2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>
        <v>2</v>
      </c>
      <c r="P31" s="15" t="s">
        <v>48</v>
      </c>
      <c r="Q31" s="4">
        <f>SUMPRODUCT(($E:$E=$Q$2)*($D:$D=$P31))</f>
        <v>0</v>
      </c>
      <c r="R31" s="14">
        <f>SUMPRODUCT(($E:$E=$Q$2)*($D:$D=$P31),$L:$L)</f>
        <v>0</v>
      </c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>
        <v>3</v>
      </c>
      <c r="P32" s="16" t="s">
        <v>49</v>
      </c>
      <c r="Q32" s="4">
        <f>SUMPRODUCT(($E:$E=$Q$2)*($D:$D=$P32))</f>
        <v>0</v>
      </c>
      <c r="R32" s="14">
        <f>SUMPRODUCT(($E:$E=$Q$2)*($D:$D=$P32),$L:$L)</f>
        <v>0</v>
      </c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>
        <v>4</v>
      </c>
      <c r="P33" s="16" t="s">
        <v>50</v>
      </c>
      <c r="Q33" s="4">
        <f>SUMPRODUCT(($E:$E=$Q$2)*($D:$D=$P33))</f>
        <v>0</v>
      </c>
      <c r="R33" s="14">
        <f>SUMPRODUCT(($E:$E=$Q$2)*($D:$D=$P33),$L:$L)</f>
        <v>0</v>
      </c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>
        <v>5</v>
      </c>
      <c r="P34" s="17" t="s">
        <v>51</v>
      </c>
      <c r="Q34" s="4">
        <f>SUMPRODUCT(($E:$E=$Q$2)*($D:$D=$P34))</f>
        <v>0</v>
      </c>
      <c r="R34" s="14">
        <f>SUMPRODUCT(($E:$E=$Q$2)*($D:$D=$P34),$L:$L)</f>
        <v>0</v>
      </c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>
        <v>6</v>
      </c>
      <c r="P35" s="18" t="s">
        <v>52</v>
      </c>
      <c r="Q35" s="4">
        <f>SUMPRODUCT(($E:$E=$Q$2)*($D:$D=$P35)*($I:$I="一般事業廢棄物"))</f>
        <v>0</v>
      </c>
      <c r="R35" s="14">
        <f>SUMPRODUCT(($E:$E=$Q$2)*($D:$D=$P35)*($I:$I="一般事業廢棄物"),$L:$L)</f>
        <v>0</v>
      </c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54" t="s">
        <v>45</v>
      </c>
      <c r="P36" s="54"/>
      <c r="Q36" s="8">
        <f>SUM(Q30:Q34)</f>
        <v>0</v>
      </c>
      <c r="R36" s="9">
        <f>SUM(R30:R34)</f>
        <v>0</v>
      </c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 t="s">
        <v>14</v>
      </c>
      <c r="P39" s="11" t="s">
        <v>53</v>
      </c>
      <c r="Q39" s="11" t="s">
        <v>16</v>
      </c>
      <c r="R39" s="11" t="s">
        <v>17</v>
      </c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>
        <v>1</v>
      </c>
      <c r="P40" s="13" t="s">
        <v>54</v>
      </c>
      <c r="Q40" s="4">
        <f>SUMPRODUCT(($E:$E=$Q$2)*($D:$D=$P$35)*($I:$I="運出底渣"))</f>
        <v>0</v>
      </c>
      <c r="R40" s="14">
        <f>SUMPRODUCT(($E:$E=$Q$2)*($D:$D=$P$35)*($I:$I="運出底渣"),$L:$L)</f>
        <v>0</v>
      </c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>
        <v>2</v>
      </c>
      <c r="P41" s="13" t="s">
        <v>55</v>
      </c>
      <c r="Q41" s="4">
        <f>SUMPRODUCT(($E:$E=$Q$2)*($D:$D=$P$20)*($I:$I="運出飛灰固化物"))</f>
        <v>0</v>
      </c>
      <c r="R41" s="14">
        <f>SUMPRODUCT(($E:$E=$Q$2)*($D:$D=$P$20)*($I:$I="運出飛灰固化物"),$L:$L)</f>
        <v>0</v>
      </c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>
        <v>3</v>
      </c>
      <c r="P42" s="13" t="s">
        <v>56</v>
      </c>
      <c r="Q42" s="4">
        <f>SUMPRODUCT(($E:$E=$Q$2)*($I:$I=$P42))</f>
        <v>0</v>
      </c>
      <c r="R42" s="14">
        <f>SUMPRODUCT(($E:$E=$Q$2)*($I:$I=$P42),$L:$L)</f>
        <v>0</v>
      </c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 t="s">
        <v>14</v>
      </c>
      <c r="P45" s="10" t="s">
        <v>57</v>
      </c>
      <c r="Q45" s="11" t="s">
        <v>16</v>
      </c>
      <c r="R45" s="11" t="s">
        <v>17</v>
      </c>
      <c r="S45" s="2"/>
      <c r="T45" s="2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>
        <v>1</v>
      </c>
      <c r="P46" s="13" t="s">
        <v>58</v>
      </c>
      <c r="Q46" s="4">
        <f>SUMPRODUCT(($E:$E=$Q$2)*($D:$D=$P46))</f>
        <v>0</v>
      </c>
      <c r="R46" s="14">
        <f>SUMPRODUCT(($E:$E=$Q$2)*($D:$D=$P46),$L:$L)</f>
        <v>0</v>
      </c>
      <c r="S46" s="2"/>
      <c r="T46" s="2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 t="s">
        <v>14</v>
      </c>
      <c r="P48" s="45" t="s">
        <v>59</v>
      </c>
      <c r="Q48" s="45"/>
      <c r="R48" s="45"/>
      <c r="S48" s="2"/>
      <c r="T48" s="2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>
        <v>1</v>
      </c>
      <c r="P49" s="5" t="s">
        <v>63</v>
      </c>
      <c r="Q49" s="4">
        <f>SUM(Q4:Q7)+Q21+Q22+Q24</f>
        <v>0</v>
      </c>
      <c r="R49" s="14">
        <f>SUM(R4:R7)+R21+R22+R24-R42</f>
        <v>0</v>
      </c>
      <c r="S49" s="2"/>
      <c r="T49" s="2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>
        <v>2</v>
      </c>
      <c r="P50" s="5" t="s">
        <v>27</v>
      </c>
      <c r="Q50" s="4">
        <f>SUM(Q8:Q19)+Q23+Q25</f>
        <v>0</v>
      </c>
      <c r="R50" s="14">
        <f>SUM(R8:R19)+R23+R25</f>
        <v>0</v>
      </c>
      <c r="S50" s="2"/>
      <c r="T50" s="2"/>
      <c r="U50" s="2"/>
      <c r="V50" s="2"/>
      <c r="W50" s="2"/>
    </row>
    <row r="5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>
        <v>3</v>
      </c>
      <c r="P51" s="5" t="s">
        <v>60</v>
      </c>
      <c r="Q51" s="4">
        <f>Q36</f>
        <v>0</v>
      </c>
      <c r="R51" s="14">
        <f>R36</f>
        <v>0</v>
      </c>
      <c r="S51" s="2"/>
      <c r="T51" s="2"/>
      <c r="U51" s="2"/>
      <c r="V51" s="2"/>
      <c r="W51" s="2"/>
    </row>
    <row r="52" spans="1:23" x14ac:dyDescent="0.25">
      <c r="O52" s="3">
        <v>4</v>
      </c>
      <c r="P52" s="5" t="s">
        <v>64</v>
      </c>
      <c r="Q52" s="4">
        <f>SUM(Q49:Q51)</f>
        <v>0</v>
      </c>
      <c r="R52" s="14">
        <f>SUM(R49:R51)</f>
        <v>0</v>
      </c>
    </row>
  </sheetData>
  <mergeCells count="10">
    <mergeCell ref="P48:R48"/>
    <mergeCell ref="O2:P2"/>
    <mergeCell ref="Q2:R2"/>
    <mergeCell ref="T3:W3"/>
    <mergeCell ref="O26:P26"/>
    <mergeCell ref="T4:U4"/>
    <mergeCell ref="T5:T6"/>
    <mergeCell ref="T7:T8"/>
    <mergeCell ref="T9:T10"/>
    <mergeCell ref="O36:P36"/>
  </mergeCells>
  <phoneticPr fontId="1" type="noConversion"/>
  <conditionalFormatting sqref="Q4:R25">
    <cfRule type="expression" priority="1">
      <formula>"&gt;0"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4BAB-D2CC-4CB9-9E09-2C6184CCC167}">
  <dimension ref="A2:X98"/>
  <sheetViews>
    <sheetView tabSelected="1" topLeftCell="A58" zoomScale="80" zoomScaleNormal="80" workbookViewId="0">
      <selection activeCell="A3" sqref="A3:M97"/>
    </sheetView>
  </sheetViews>
  <sheetFormatPr defaultRowHeight="16.5" x14ac:dyDescent="0.25"/>
  <cols>
    <col min="2" max="2" width="12.75" bestFit="1" customWidth="1"/>
    <col min="3" max="3" width="9.5" bestFit="1" customWidth="1"/>
    <col min="4" max="4" width="29" customWidth="1"/>
    <col min="5" max="5" width="10.75" bestFit="1" customWidth="1"/>
    <col min="6" max="7" width="10.25" bestFit="1" customWidth="1"/>
    <col min="8" max="8" width="30.5" bestFit="1" customWidth="1"/>
    <col min="9" max="9" width="17.875" customWidth="1"/>
    <col min="13" max="13" width="18" customWidth="1"/>
    <col min="15" max="15" width="5.75" bestFit="1" customWidth="1"/>
    <col min="16" max="16" width="37.75" bestFit="1" customWidth="1"/>
    <col min="17" max="17" width="10.125" bestFit="1" customWidth="1"/>
    <col min="18" max="18" width="10.625" bestFit="1" customWidth="1"/>
    <col min="19" max="19" width="5.75" bestFit="1" customWidth="1"/>
    <col min="20" max="20" width="8.5" bestFit="1" customWidth="1"/>
  </cols>
  <sheetData>
    <row r="2" spans="1:24" x14ac:dyDescent="0.25">
      <c r="A2" s="33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 t="s">
        <v>12</v>
      </c>
      <c r="O2" s="3" t="s">
        <v>13</v>
      </c>
      <c r="P2" s="12">
        <v>46055</v>
      </c>
      <c r="Q2" s="28" t="s">
        <v>85</v>
      </c>
      <c r="R2" s="29"/>
      <c r="S2" s="28" t="s">
        <v>86</v>
      </c>
      <c r="T2" s="29"/>
    </row>
    <row r="3" spans="1:24" x14ac:dyDescent="0.25">
      <c r="A3" s="33">
        <v>1</v>
      </c>
      <c r="B3" s="33" t="s">
        <v>158</v>
      </c>
      <c r="C3" s="33">
        <v>6799956</v>
      </c>
      <c r="D3" s="1" t="s">
        <v>98</v>
      </c>
      <c r="E3" s="38">
        <v>46055</v>
      </c>
      <c r="F3" s="39">
        <v>0.33406249999999998</v>
      </c>
      <c r="G3" s="39">
        <v>0.34181712962962962</v>
      </c>
      <c r="H3" s="1" t="s">
        <v>105</v>
      </c>
      <c r="I3" s="1" t="s">
        <v>106</v>
      </c>
      <c r="J3" s="33">
        <v>37.21</v>
      </c>
      <c r="K3" s="33">
        <v>20.03</v>
      </c>
      <c r="L3" s="33">
        <f>J3-K3</f>
        <v>17.18</v>
      </c>
      <c r="M3" s="40" t="s">
        <v>107</v>
      </c>
      <c r="O3" s="3" t="s">
        <v>14</v>
      </c>
      <c r="P3" s="11" t="s">
        <v>69</v>
      </c>
      <c r="Q3" s="11" t="s">
        <v>16</v>
      </c>
      <c r="R3" s="11" t="s">
        <v>17</v>
      </c>
      <c r="S3" s="11" t="s">
        <v>16</v>
      </c>
      <c r="T3" s="11" t="s">
        <v>17</v>
      </c>
      <c r="U3" s="34"/>
      <c r="V3" s="34"/>
      <c r="W3" s="34"/>
      <c r="X3" s="34"/>
    </row>
    <row r="4" spans="1:24" x14ac:dyDescent="0.25">
      <c r="A4" s="33">
        <v>2</v>
      </c>
      <c r="B4" s="33" t="s">
        <v>159</v>
      </c>
      <c r="C4" s="33">
        <v>6401970</v>
      </c>
      <c r="D4" s="1" t="s">
        <v>160</v>
      </c>
      <c r="E4" s="38">
        <v>46055</v>
      </c>
      <c r="F4" s="39">
        <v>0.3348726851851852</v>
      </c>
      <c r="G4" s="39">
        <v>0.35585648148148147</v>
      </c>
      <c r="H4" s="1" t="s">
        <v>161</v>
      </c>
      <c r="I4" s="1" t="s">
        <v>162</v>
      </c>
      <c r="J4" s="33">
        <v>38.19</v>
      </c>
      <c r="K4" s="33">
        <v>17.760000000000002</v>
      </c>
      <c r="L4" s="33">
        <f>J4-K4</f>
        <v>20.429999999999996</v>
      </c>
      <c r="M4" s="40"/>
      <c r="O4" s="3">
        <v>1</v>
      </c>
      <c r="P4" s="13" t="s">
        <v>19</v>
      </c>
      <c r="Q4" s="4">
        <f>SUMPRODUCT(($E:$E=$P$2)*($D:$D=$P4)*($M:$M=""))</f>
        <v>45</v>
      </c>
      <c r="R4" s="14">
        <f>SUMPRODUCT(($E:$E=$P$2)*($D:$D=$P4)*($M:$M=""),$L:$L)</f>
        <v>141.97</v>
      </c>
      <c r="S4" s="4">
        <f>SUMPRODUCT(($E:$E=$P$2)*($D:$D=$P$4)*($M:$M="臺東市"))+SUMPRODUCT(($E:$E=$P$2)*($D:$D=$P$20)*($M:$M="臺東市"))</f>
        <v>0</v>
      </c>
      <c r="T4" s="14">
        <f>SUMPRODUCT(($E:$E=$P$2)*($D:$D=$P$4)*($M:$M="臺東市")+SUMPRODUCT(($E:$E=$P$2)*($D:$D=$P$20)*($M:$M="臺東市")),$L:$L)</f>
        <v>0</v>
      </c>
      <c r="U4" s="34"/>
      <c r="V4" s="34"/>
      <c r="W4" s="34"/>
      <c r="X4" s="34"/>
    </row>
    <row r="5" spans="1:24" x14ac:dyDescent="0.25">
      <c r="A5" s="33">
        <v>3</v>
      </c>
      <c r="B5" s="33" t="s">
        <v>163</v>
      </c>
      <c r="C5" s="33">
        <v>6401897</v>
      </c>
      <c r="D5" s="1" t="s">
        <v>160</v>
      </c>
      <c r="E5" s="38">
        <v>46055</v>
      </c>
      <c r="F5" s="39">
        <v>0.33591435185185187</v>
      </c>
      <c r="G5" s="39">
        <v>0.36305555555555558</v>
      </c>
      <c r="H5" s="1" t="s">
        <v>161</v>
      </c>
      <c r="I5" s="1" t="s">
        <v>162</v>
      </c>
      <c r="J5" s="33">
        <v>37.67</v>
      </c>
      <c r="K5" s="33">
        <v>13.26</v>
      </c>
      <c r="L5" s="33">
        <f t="shared" ref="L5:L68" si="0">J5-K5</f>
        <v>24.410000000000004</v>
      </c>
      <c r="M5" s="40"/>
      <c r="O5" s="3">
        <v>2</v>
      </c>
      <c r="P5" s="13" t="s">
        <v>21</v>
      </c>
      <c r="Q5" s="4">
        <f>SUMPRODUCT(($E:$E=$P$2)*($D:$D=$P5))</f>
        <v>5</v>
      </c>
      <c r="R5" s="14">
        <f>SUMPRODUCT(($E:$E=$P$2)*($D:$D=$P5),$L:$L)</f>
        <v>12.899999999999999</v>
      </c>
      <c r="S5" s="4">
        <f>SUMPRODUCT(($E:$E=$P$2)*($D:$D=$P$20)*($M:$M="卑南鄉"))</f>
        <v>0</v>
      </c>
      <c r="T5" s="14">
        <f>SUMPRODUCT(($E:$E=$P$2)*($D:$D=$P$20)*($M:$M="卑南鄉"),$L:$L)</f>
        <v>0</v>
      </c>
      <c r="U5" s="21"/>
    </row>
    <row r="6" spans="1:24" x14ac:dyDescent="0.25">
      <c r="A6" s="33">
        <v>4</v>
      </c>
      <c r="B6" s="33" t="s">
        <v>122</v>
      </c>
      <c r="C6" s="33">
        <v>6799954</v>
      </c>
      <c r="D6" s="1" t="s">
        <v>98</v>
      </c>
      <c r="E6" s="38">
        <v>46055</v>
      </c>
      <c r="F6" s="39">
        <v>0.33770833333333333</v>
      </c>
      <c r="G6" s="39">
        <v>0.35011574074074076</v>
      </c>
      <c r="H6" s="1" t="s">
        <v>105</v>
      </c>
      <c r="I6" s="1" t="s">
        <v>106</v>
      </c>
      <c r="J6" s="33">
        <v>35.57</v>
      </c>
      <c r="K6" s="33">
        <v>19.75</v>
      </c>
      <c r="L6" s="33">
        <f t="shared" si="0"/>
        <v>15.82</v>
      </c>
      <c r="M6" s="40" t="s">
        <v>107</v>
      </c>
      <c r="O6" s="3">
        <v>3</v>
      </c>
      <c r="P6" s="13" t="s">
        <v>22</v>
      </c>
      <c r="Q6" s="4">
        <f>SUMPRODUCT(($E:$E=$P$2)*($D:$D=$P6))</f>
        <v>6</v>
      </c>
      <c r="R6" s="14">
        <f>SUMPRODUCT(($E:$E=$P$2)*($D:$D=$P6),$L:$L)</f>
        <v>14.54</v>
      </c>
      <c r="S6" s="4">
        <f>SUMPRODUCT(($E:$E=$P$2)*($D:$D=$P$20)*($M:$M="太麻里鄉"))</f>
        <v>0</v>
      </c>
      <c r="T6" s="14">
        <f>SUMPRODUCT(($E:$E=$P$2)*($D:$D=$P$20)*($M:$M="太麻里鄉"),$L:$L)</f>
        <v>0</v>
      </c>
      <c r="U6" s="21"/>
    </row>
    <row r="7" spans="1:24" x14ac:dyDescent="0.25">
      <c r="A7" s="33">
        <v>5</v>
      </c>
      <c r="B7" s="33" t="s">
        <v>164</v>
      </c>
      <c r="C7" s="33">
        <v>6401976</v>
      </c>
      <c r="D7" s="1" t="s">
        <v>160</v>
      </c>
      <c r="E7" s="38">
        <v>46055</v>
      </c>
      <c r="F7" s="39">
        <v>0.3450347222222222</v>
      </c>
      <c r="G7" s="39">
        <v>0.37642361111111111</v>
      </c>
      <c r="H7" s="1" t="s">
        <v>161</v>
      </c>
      <c r="I7" s="1" t="s">
        <v>162</v>
      </c>
      <c r="J7" s="33">
        <v>38</v>
      </c>
      <c r="K7" s="33">
        <v>13.92</v>
      </c>
      <c r="L7" s="33">
        <f t="shared" si="0"/>
        <v>24.08</v>
      </c>
      <c r="M7" s="40"/>
      <c r="O7" s="3">
        <v>4</v>
      </c>
      <c r="P7" s="13" t="s">
        <v>24</v>
      </c>
      <c r="Q7" s="4">
        <f>SUMPRODUCT(($E:$E=$P$2)*($D:$D=$P7))</f>
        <v>2</v>
      </c>
      <c r="R7" s="14">
        <f>SUMPRODUCT(($E:$E=$P$2)*($D:$D=$P7),$L:$L)</f>
        <v>12.01</v>
      </c>
      <c r="S7" s="4">
        <f>SUMPRODUCT(($E:$E=$P$2)*($D:$D=$P$20)*($M:$M="金峰鄉"))</f>
        <v>0</v>
      </c>
      <c r="T7" s="14">
        <f>SUMPRODUCT(($E:$E=$P$2)*($D:$D=$P$20)*($M:$M="金峰鄉"),$L:$L)</f>
        <v>0</v>
      </c>
      <c r="U7" s="31"/>
    </row>
    <row r="8" spans="1:24" x14ac:dyDescent="0.25">
      <c r="A8" s="33">
        <v>6</v>
      </c>
      <c r="B8" s="33" t="s">
        <v>114</v>
      </c>
      <c r="C8" s="33">
        <v>6799964</v>
      </c>
      <c r="D8" s="1" t="s">
        <v>99</v>
      </c>
      <c r="E8" s="38">
        <v>46055</v>
      </c>
      <c r="F8" s="39">
        <v>0.34369212962962964</v>
      </c>
      <c r="G8" s="39">
        <v>0.36148148148148146</v>
      </c>
      <c r="H8" s="1" t="s">
        <v>109</v>
      </c>
      <c r="I8" s="1" t="s">
        <v>106</v>
      </c>
      <c r="J8" s="33">
        <v>35.619999999999997</v>
      </c>
      <c r="K8" s="33">
        <v>18.399999999999999</v>
      </c>
      <c r="L8" s="33">
        <f t="shared" si="0"/>
        <v>17.22</v>
      </c>
      <c r="M8" s="40" t="s">
        <v>110</v>
      </c>
      <c r="O8" s="3">
        <v>5</v>
      </c>
      <c r="P8" s="13" t="s">
        <v>26</v>
      </c>
      <c r="Q8" s="4">
        <f>SUMPRODUCT(($E:$E=$P$2)*($D:$D=$P8)*($M:$M=""))</f>
        <v>0</v>
      </c>
      <c r="R8" s="14">
        <f>SUMPRODUCT(($E:$E=$P$2)*($D:$D=$P8)*($M:$M=""),$L:$L)</f>
        <v>0</v>
      </c>
      <c r="S8" s="4">
        <f>SUMPRODUCT(($E:$E=$P$2)*($D:$D=$P$20)*($M:$M="海端鄉"))+SUMPRODUCT(($E:$E=$P$2)*($D:$D=$P$8)*($M:$M="海端鄉"))</f>
        <v>0</v>
      </c>
      <c r="T8" s="14">
        <f>SUMPRODUCT(($E:$E=$P$2)*($D:$D=$P$20)*($M:$M="海端鄉"),$L:$L)+SUMPRODUCT(($E:$E=$P$2)*($D:$D=$P8)*($M:$M="海端鄉"),$L:$L)</f>
        <v>0</v>
      </c>
    </row>
    <row r="9" spans="1:24" x14ac:dyDescent="0.25">
      <c r="A9" s="33">
        <v>7</v>
      </c>
      <c r="B9" s="33" t="s">
        <v>165</v>
      </c>
      <c r="C9" s="33">
        <v>6401978</v>
      </c>
      <c r="D9" s="1" t="s">
        <v>160</v>
      </c>
      <c r="E9" s="38">
        <v>46055</v>
      </c>
      <c r="F9" s="39">
        <v>0.35717592592592595</v>
      </c>
      <c r="G9" s="39">
        <v>0.3913888888888889</v>
      </c>
      <c r="H9" s="1" t="s">
        <v>161</v>
      </c>
      <c r="I9" s="1" t="s">
        <v>162</v>
      </c>
      <c r="J9" s="33">
        <v>38.01</v>
      </c>
      <c r="K9" s="33">
        <v>13.88</v>
      </c>
      <c r="L9" s="33">
        <f t="shared" si="0"/>
        <v>24.129999999999995</v>
      </c>
      <c r="M9" s="40"/>
      <c r="O9" s="3">
        <v>6</v>
      </c>
      <c r="P9" s="13" t="s">
        <v>28</v>
      </c>
      <c r="Q9" s="4">
        <f>SUMPRODUCT(($E:$E=$P$2)*($D:$D=$P9)*($M:$M=""))</f>
        <v>0</v>
      </c>
      <c r="R9" s="14">
        <f>SUMPRODUCT(($E:$E=$P$2)*($D:$D=$P9)*($M:$M=""),$L:$L)</f>
        <v>0</v>
      </c>
      <c r="S9" s="4">
        <f>SUMPRODUCT(($E:$E=$P$2)*($D:$D=$P$9)*($M:$M="關山鎮"))</f>
        <v>0</v>
      </c>
      <c r="T9" s="14">
        <f>SUMPRODUCT(($E:$E=$P$2)*($D:$D=$P$9)*($M:$M="關山鎮"),$L:$L)</f>
        <v>0</v>
      </c>
      <c r="U9" s="21"/>
      <c r="V9" s="20"/>
    </row>
    <row r="10" spans="1:24" x14ac:dyDescent="0.25">
      <c r="A10" s="33">
        <v>8</v>
      </c>
      <c r="B10" s="33" t="s">
        <v>108</v>
      </c>
      <c r="C10" s="1">
        <v>6799957</v>
      </c>
      <c r="D10" s="1" t="s">
        <v>99</v>
      </c>
      <c r="E10" s="38">
        <v>46055</v>
      </c>
      <c r="F10" s="39">
        <v>0.35265046296296299</v>
      </c>
      <c r="G10" s="39">
        <v>0.3744675925925926</v>
      </c>
      <c r="H10" s="1" t="s">
        <v>109</v>
      </c>
      <c r="I10" s="1" t="s">
        <v>106</v>
      </c>
      <c r="J10" s="33">
        <v>37.81</v>
      </c>
      <c r="K10" s="33">
        <v>19.39</v>
      </c>
      <c r="L10" s="33">
        <f t="shared" si="0"/>
        <v>18.420000000000002</v>
      </c>
      <c r="M10" s="40" t="s">
        <v>110</v>
      </c>
      <c r="O10" s="3">
        <v>7</v>
      </c>
      <c r="P10" s="13" t="s">
        <v>70</v>
      </c>
      <c r="Q10" s="4" t="s">
        <v>67</v>
      </c>
      <c r="R10" s="14" t="s">
        <v>67</v>
      </c>
      <c r="S10" s="4">
        <f>SUMPRODUCT(($E:$E=$P$2)*($D:$D=$P$10)*($M:$M="池上鄉"))</f>
        <v>0</v>
      </c>
      <c r="T10" s="14">
        <f>SUMPRODUCT(($E:$E=$P$2)*($D:$D=$P$10)*($M:$M="池上鄉"),$L:$L)</f>
        <v>0</v>
      </c>
      <c r="U10" s="21"/>
    </row>
    <row r="11" spans="1:24" x14ac:dyDescent="0.25">
      <c r="A11" s="33">
        <v>9</v>
      </c>
      <c r="B11" s="33" t="s">
        <v>126</v>
      </c>
      <c r="C11" s="33">
        <v>6799965</v>
      </c>
      <c r="D11" s="1" t="s">
        <v>99</v>
      </c>
      <c r="E11" s="38">
        <v>46055</v>
      </c>
      <c r="F11" s="39">
        <v>0.36408564814814814</v>
      </c>
      <c r="G11" s="39">
        <v>0.38196759259259261</v>
      </c>
      <c r="H11" s="1" t="s">
        <v>109</v>
      </c>
      <c r="I11" s="1" t="s">
        <v>106</v>
      </c>
      <c r="J11" s="33">
        <v>38.25</v>
      </c>
      <c r="K11" s="33">
        <v>19.190000000000001</v>
      </c>
      <c r="L11" s="33">
        <f t="shared" si="0"/>
        <v>19.059999999999999</v>
      </c>
      <c r="M11" s="40" t="s">
        <v>110</v>
      </c>
      <c r="O11" s="3">
        <v>8</v>
      </c>
      <c r="P11" s="13" t="s">
        <v>31</v>
      </c>
      <c r="Q11" s="4">
        <f>SUMPRODUCT(($E:$E=$P$2)*($D:$D=$P11))</f>
        <v>2</v>
      </c>
      <c r="R11" s="14">
        <f>SUMPRODUCT(($E:$E=$P$2)*($D:$D=$P11),$L:$L)</f>
        <v>15.77</v>
      </c>
      <c r="S11" s="4">
        <f>SUMPRODUCT(($E:$E=$P$2)*($D:$D=$P$20)*($M:$M="鹿野鄉"))</f>
        <v>0</v>
      </c>
      <c r="T11" s="14">
        <f>SUMPRODUCT(($E:$E=$P$2)*($D:$D=$P$20)*($M:$M="鹿野鄉"),$L:$L)</f>
        <v>0</v>
      </c>
      <c r="U11" s="21"/>
    </row>
    <row r="12" spans="1:24" x14ac:dyDescent="0.25">
      <c r="A12" s="33">
        <v>10</v>
      </c>
      <c r="B12" s="33" t="s">
        <v>133</v>
      </c>
      <c r="C12" s="33">
        <v>6402010</v>
      </c>
      <c r="D12" s="1" t="s">
        <v>75</v>
      </c>
      <c r="E12" s="38">
        <v>46055</v>
      </c>
      <c r="F12" s="39">
        <v>0.35444444444444445</v>
      </c>
      <c r="G12" s="39">
        <v>0.38503472222222224</v>
      </c>
      <c r="H12" s="1" t="s">
        <v>120</v>
      </c>
      <c r="I12" s="1" t="s">
        <v>121</v>
      </c>
      <c r="J12" s="33">
        <v>17</v>
      </c>
      <c r="K12" s="33">
        <v>10.76</v>
      </c>
      <c r="L12" s="33">
        <f t="shared" si="0"/>
        <v>6.24</v>
      </c>
      <c r="M12" s="40"/>
      <c r="O12" s="3">
        <v>9</v>
      </c>
      <c r="P12" s="13" t="s">
        <v>32</v>
      </c>
      <c r="Q12" s="4">
        <f>SUMPRODUCT(($E:$E=$P$2)*($D:$D=$P12))</f>
        <v>1</v>
      </c>
      <c r="R12" s="14">
        <f>SUMPRODUCT(($E:$E=$P$2)*($D:$D=$P12),$L:$L)</f>
        <v>2.3100000000000005</v>
      </c>
      <c r="S12" s="4">
        <f>SUMPRODUCT(($E:$E=$P$2)*($D:$D=$P$12)*($M:$M="延平鄉"))</f>
        <v>0</v>
      </c>
      <c r="T12" s="14">
        <f>SUMPRODUCT(($E:$E=$P$2)*($D:$D=$P$12)*($M:$M="延平鄉"),$L:$L)</f>
        <v>0</v>
      </c>
      <c r="U12" s="21"/>
    </row>
    <row r="13" spans="1:24" x14ac:dyDescent="0.25">
      <c r="A13" s="33">
        <v>11</v>
      </c>
      <c r="B13" s="33" t="s">
        <v>132</v>
      </c>
      <c r="C13" s="33">
        <v>3774860</v>
      </c>
      <c r="D13" s="1" t="s">
        <v>19</v>
      </c>
      <c r="E13" s="38">
        <v>46055</v>
      </c>
      <c r="F13" s="39">
        <v>0.3818287037037037</v>
      </c>
      <c r="G13" s="39">
        <v>0.38741898148148146</v>
      </c>
      <c r="H13" s="1" t="s">
        <v>103</v>
      </c>
      <c r="I13" s="1" t="s">
        <v>104</v>
      </c>
      <c r="J13" s="33">
        <v>6.03</v>
      </c>
      <c r="K13" s="33">
        <v>5.19</v>
      </c>
      <c r="L13" s="33">
        <f t="shared" si="0"/>
        <v>0.83999999999999986</v>
      </c>
      <c r="M13" s="40"/>
      <c r="O13" s="3">
        <v>10</v>
      </c>
      <c r="P13" s="13" t="s">
        <v>78</v>
      </c>
      <c r="Q13" s="4">
        <f>SUMPRODUCT(($E:$E=$P$2)*($D:$D=$P13))</f>
        <v>0</v>
      </c>
      <c r="R13" s="14">
        <f>SUMPRODUCT(($E:$E=$P$2)*($D:$D=$P13),$L:$L)</f>
        <v>0</v>
      </c>
      <c r="S13" s="4">
        <f>SUMPRODUCT(($E:$E=$P$2)*($D:$D=$P$13)*($M:$M="達仁鄉"))</f>
        <v>0</v>
      </c>
      <c r="T13" s="14">
        <f>SUMPRODUCT(($E:$E=$P$2)*($D:$D=$P$13)*($M:$M="達仁鄉"),$L:$L)</f>
        <v>0</v>
      </c>
      <c r="U13" s="24"/>
      <c r="V13" s="20"/>
      <c r="W13" s="20"/>
      <c r="X13" s="20"/>
    </row>
    <row r="14" spans="1:24" x14ac:dyDescent="0.25">
      <c r="A14" s="33">
        <v>12</v>
      </c>
      <c r="B14" s="33" t="s">
        <v>125</v>
      </c>
      <c r="C14" s="33">
        <v>3774897</v>
      </c>
      <c r="D14" s="40" t="s">
        <v>124</v>
      </c>
      <c r="E14" s="38">
        <v>46055</v>
      </c>
      <c r="F14" s="39">
        <v>0.37740740740740741</v>
      </c>
      <c r="G14" s="39">
        <v>0.38692129629629629</v>
      </c>
      <c r="H14" s="1" t="s">
        <v>103</v>
      </c>
      <c r="I14" s="1" t="s">
        <v>104</v>
      </c>
      <c r="J14" s="33">
        <v>10.4</v>
      </c>
      <c r="K14" s="33">
        <v>8.08</v>
      </c>
      <c r="L14" s="33">
        <f t="shared" si="0"/>
        <v>2.3200000000000003</v>
      </c>
      <c r="M14" s="40"/>
      <c r="O14" s="3">
        <v>11</v>
      </c>
      <c r="P14" s="19" t="s">
        <v>34</v>
      </c>
      <c r="Q14" s="4">
        <f>SUMPRODUCT(($E:$E=$P$2)*($D:$D=$P14))</f>
        <v>0</v>
      </c>
      <c r="R14" s="14">
        <f>SUMPRODUCT(($E:$E=$P$2)*($D:$D=$P14),$L:$L)</f>
        <v>0</v>
      </c>
      <c r="S14" s="4">
        <f>SUMPRODUCT(($E:$E=$P$2)*($D:$D=$P$14)*($M:$M="大武鄉"))</f>
        <v>0</v>
      </c>
      <c r="T14" s="14">
        <f>SUMPRODUCT(($E:$E=$P$2)*($D:$D=$P$14)*($M:$M="大武鄉"),$L:$L)</f>
        <v>0</v>
      </c>
      <c r="U14" s="20"/>
    </row>
    <row r="15" spans="1:24" x14ac:dyDescent="0.25">
      <c r="A15" s="33">
        <v>13</v>
      </c>
      <c r="B15" s="33" t="s">
        <v>166</v>
      </c>
      <c r="C15" s="33">
        <v>3775010</v>
      </c>
      <c r="D15" s="1" t="s">
        <v>19</v>
      </c>
      <c r="E15" s="38">
        <v>46055</v>
      </c>
      <c r="F15" s="39">
        <v>0.38502314814814814</v>
      </c>
      <c r="G15" s="39">
        <v>0.38903935185185184</v>
      </c>
      <c r="H15" s="1" t="s">
        <v>103</v>
      </c>
      <c r="I15" s="1" t="s">
        <v>104</v>
      </c>
      <c r="J15" s="33">
        <v>5.96</v>
      </c>
      <c r="K15" s="33">
        <v>5.17</v>
      </c>
      <c r="L15" s="33">
        <f t="shared" si="0"/>
        <v>0.79</v>
      </c>
      <c r="M15" s="40"/>
      <c r="O15" s="3">
        <v>12</v>
      </c>
      <c r="P15" s="19" t="s">
        <v>35</v>
      </c>
      <c r="Q15" s="4">
        <f>SUMPRODUCT(($E:$E=$P$2)*($D:$D=$P15))</f>
        <v>0</v>
      </c>
      <c r="R15" s="14">
        <f>SUMPRODUCT(($E:$E=$P$2)*($D:$D=$P15),$L:$L)</f>
        <v>0</v>
      </c>
      <c r="S15" s="4">
        <f>SUMPRODUCT(($E:$E=$P$2)*($D:$D=$P$1)*($M:$M="大武鄉"))</f>
        <v>0</v>
      </c>
      <c r="T15" s="14">
        <f>SUMPRODUCT(($E:$E=$P$2)*($D:$D=$P$14)*($M:$M="大武鄉"),$L:$L)</f>
        <v>0</v>
      </c>
      <c r="U15" s="21"/>
    </row>
    <row r="16" spans="1:24" x14ac:dyDescent="0.25">
      <c r="A16" s="33">
        <v>14</v>
      </c>
      <c r="B16" s="33" t="s">
        <v>123</v>
      </c>
      <c r="C16" s="33">
        <v>3774899</v>
      </c>
      <c r="D16" s="40" t="s">
        <v>124</v>
      </c>
      <c r="E16" s="38">
        <v>46055</v>
      </c>
      <c r="F16" s="39">
        <v>0.38484953703703706</v>
      </c>
      <c r="G16" s="39">
        <v>0.38989583333333333</v>
      </c>
      <c r="H16" s="1" t="s">
        <v>103</v>
      </c>
      <c r="I16" s="1" t="s">
        <v>104</v>
      </c>
      <c r="J16" s="33">
        <v>7.27</v>
      </c>
      <c r="K16" s="33">
        <v>6.04</v>
      </c>
      <c r="L16" s="33">
        <f t="shared" si="0"/>
        <v>1.2299999999999995</v>
      </c>
      <c r="M16" s="40"/>
      <c r="O16" s="3">
        <v>13</v>
      </c>
      <c r="P16" s="19" t="s">
        <v>36</v>
      </c>
      <c r="Q16" s="4" t="s">
        <v>67</v>
      </c>
      <c r="R16" s="14" t="s">
        <v>67</v>
      </c>
      <c r="S16" s="4">
        <f>SUMPRODUCT(($E:$E=$P$2)*($D:$D=$P$16)*($M:$M="成功鎮"))</f>
        <v>0</v>
      </c>
      <c r="T16" s="14">
        <f>SUMPRODUCT(($E:$E=$P$2)*($D:$D=$P$16)*($M:$M="成功鎮"),$L:$L)</f>
        <v>0</v>
      </c>
      <c r="U16" s="21"/>
      <c r="V16" s="20"/>
    </row>
    <row r="17" spans="1:24" x14ac:dyDescent="0.25">
      <c r="A17" s="33">
        <v>15</v>
      </c>
      <c r="B17" s="33" t="s">
        <v>131</v>
      </c>
      <c r="C17" s="33">
        <v>6401959</v>
      </c>
      <c r="D17" s="1" t="s">
        <v>19</v>
      </c>
      <c r="E17" s="38">
        <v>46055</v>
      </c>
      <c r="F17" s="39">
        <v>0.38708333333333333</v>
      </c>
      <c r="G17" s="39">
        <v>0.39195601851851852</v>
      </c>
      <c r="H17" s="1" t="s">
        <v>103</v>
      </c>
      <c r="I17" s="1" t="s">
        <v>104</v>
      </c>
      <c r="J17" s="33">
        <v>10.31</v>
      </c>
      <c r="K17" s="33">
        <v>8.15</v>
      </c>
      <c r="L17" s="33">
        <f t="shared" si="0"/>
        <v>2.16</v>
      </c>
      <c r="M17" s="40"/>
      <c r="O17" s="3">
        <v>14</v>
      </c>
      <c r="P17" s="19" t="s">
        <v>37</v>
      </c>
      <c r="Q17" s="4" t="s">
        <v>67</v>
      </c>
      <c r="R17" s="14" t="s">
        <v>67</v>
      </c>
      <c r="S17" s="4">
        <f>SUMPRODUCT(($E:$E=$P$2)*($D:$D=$P$17)*($M:$M="長濱鄉"))</f>
        <v>0</v>
      </c>
      <c r="T17" s="14">
        <f>SUMPRODUCT(($E:$E=$P$2)*($D:$D=$P$17)*($M:$M="長濱鄉"),$L:$L)</f>
        <v>0</v>
      </c>
      <c r="U17" s="21"/>
    </row>
    <row r="18" spans="1:24" x14ac:dyDescent="0.25">
      <c r="A18" s="33">
        <v>16</v>
      </c>
      <c r="B18" s="33" t="s">
        <v>167</v>
      </c>
      <c r="C18" s="33">
        <v>3774900</v>
      </c>
      <c r="D18" s="40" t="s">
        <v>124</v>
      </c>
      <c r="E18" s="38">
        <v>46055</v>
      </c>
      <c r="F18" s="39">
        <v>0.38730324074074074</v>
      </c>
      <c r="G18" s="39">
        <v>0.39317129629629627</v>
      </c>
      <c r="H18" s="1" t="s">
        <v>103</v>
      </c>
      <c r="I18" s="1" t="s">
        <v>104</v>
      </c>
      <c r="J18" s="33">
        <v>7.08</v>
      </c>
      <c r="K18" s="33">
        <v>5.04</v>
      </c>
      <c r="L18" s="33">
        <f t="shared" si="0"/>
        <v>2.04</v>
      </c>
      <c r="M18" s="40"/>
      <c r="O18" s="3">
        <v>15</v>
      </c>
      <c r="P18" s="13" t="s">
        <v>38</v>
      </c>
      <c r="Q18" s="4" t="s">
        <v>67</v>
      </c>
      <c r="R18" s="14" t="s">
        <v>67</v>
      </c>
      <c r="S18" s="4">
        <f>SUMPRODUCT(($E:$E=$P$2)*($D:$D=$P$20)*($M:$M="綠島鄉"))</f>
        <v>0</v>
      </c>
      <c r="T18" s="14">
        <f>SUMPRODUCT(($E:$E=$P$2)*($D:$D=$P$20)*($M:$M="綠島鄉"),$L:$L)</f>
        <v>0</v>
      </c>
    </row>
    <row r="19" spans="1:24" x14ac:dyDescent="0.25">
      <c r="A19" s="33">
        <v>17</v>
      </c>
      <c r="B19" s="33" t="s">
        <v>113</v>
      </c>
      <c r="C19" s="33">
        <v>6799961</v>
      </c>
      <c r="D19" s="1" t="s">
        <v>99</v>
      </c>
      <c r="E19" s="38">
        <v>46055</v>
      </c>
      <c r="F19" s="39">
        <v>0.3909259259259259</v>
      </c>
      <c r="G19" s="39">
        <v>0.39930555555555558</v>
      </c>
      <c r="H19" s="1" t="s">
        <v>109</v>
      </c>
      <c r="I19" s="1" t="s">
        <v>106</v>
      </c>
      <c r="J19" s="33">
        <v>35.68</v>
      </c>
      <c r="K19" s="33">
        <v>18.12</v>
      </c>
      <c r="L19" s="33">
        <f t="shared" si="0"/>
        <v>17.559999999999999</v>
      </c>
      <c r="M19" s="40" t="s">
        <v>110</v>
      </c>
      <c r="O19" s="3">
        <v>16</v>
      </c>
      <c r="P19" s="13" t="s">
        <v>39</v>
      </c>
      <c r="Q19" s="4" t="s">
        <v>67</v>
      </c>
      <c r="R19" s="14" t="s">
        <v>67</v>
      </c>
      <c r="S19" s="4">
        <f>SUMPRODUCT(($E:$E=$P$2)*($D:$D=$P$20)*($M:$M=""))</f>
        <v>0</v>
      </c>
      <c r="T19" s="14">
        <f>SUMPRODUCT(($E:$E=$P$2)*($D:$D=$P$20)*($M:$M=""),$L:$L)</f>
        <v>0</v>
      </c>
    </row>
    <row r="20" spans="1:24" x14ac:dyDescent="0.25">
      <c r="A20" s="33">
        <v>18</v>
      </c>
      <c r="B20" s="33" t="s">
        <v>112</v>
      </c>
      <c r="C20" s="33">
        <v>6799959</v>
      </c>
      <c r="D20" s="1" t="s">
        <v>99</v>
      </c>
      <c r="E20" s="38">
        <v>46055</v>
      </c>
      <c r="F20" s="39">
        <v>0.39552083333333332</v>
      </c>
      <c r="G20" s="39">
        <v>0.40763888888888888</v>
      </c>
      <c r="H20" s="1" t="s">
        <v>109</v>
      </c>
      <c r="I20" s="1" t="s">
        <v>106</v>
      </c>
      <c r="J20" s="33">
        <v>37.700000000000003</v>
      </c>
      <c r="K20" s="33">
        <v>19.68</v>
      </c>
      <c r="L20" s="33">
        <f t="shared" si="0"/>
        <v>18.020000000000003</v>
      </c>
      <c r="M20" s="40" t="s">
        <v>110</v>
      </c>
      <c r="O20" s="3">
        <v>17</v>
      </c>
      <c r="P20" s="19" t="s">
        <v>40</v>
      </c>
      <c r="Q20" s="4">
        <f>SUMPRODUCT(($E:$E=$P$2)*($D:$D=$P20)*($M:$M="金紙車"))</f>
        <v>0</v>
      </c>
      <c r="R20" s="14">
        <f>SUMPRODUCT(($E:$E=$P$2)*($D:$D=$P20)*($M:$M="金紙車"),$L:$L)</f>
        <v>0</v>
      </c>
      <c r="S20" s="4">
        <f>SUMPRODUCT(($E:$E=$P$2)*($D:$D=$P$20)*($M:$M="關山打包物"))</f>
        <v>0</v>
      </c>
      <c r="T20" s="14">
        <f>SUMPRODUCT(($E:$E=$P$2)*($D:$D=$P$20)*($M:$M="關山打包物"),$L:$L)</f>
        <v>0</v>
      </c>
      <c r="U20" s="20"/>
    </row>
    <row r="21" spans="1:24" x14ac:dyDescent="0.25">
      <c r="A21" s="33">
        <v>19</v>
      </c>
      <c r="B21" s="33" t="s">
        <v>168</v>
      </c>
      <c r="C21" s="33">
        <v>6401975</v>
      </c>
      <c r="D21" s="1" t="s">
        <v>160</v>
      </c>
      <c r="E21" s="38">
        <v>46055</v>
      </c>
      <c r="F21" s="39">
        <v>0.40237268518518521</v>
      </c>
      <c r="G21" s="39">
        <v>0.43857638888888889</v>
      </c>
      <c r="H21" s="1" t="s">
        <v>161</v>
      </c>
      <c r="I21" s="1" t="s">
        <v>162</v>
      </c>
      <c r="J21" s="33">
        <v>38.130000000000003</v>
      </c>
      <c r="K21" s="33">
        <v>13.91</v>
      </c>
      <c r="L21" s="33">
        <f t="shared" si="0"/>
        <v>24.220000000000002</v>
      </c>
      <c r="M21" s="40"/>
      <c r="O21" s="3">
        <v>18</v>
      </c>
      <c r="P21" s="19" t="s">
        <v>41</v>
      </c>
      <c r="Q21" s="4">
        <f>SUMPRODUCT(($E:$E=$P$2)*($D:$D=$P21))</f>
        <v>0</v>
      </c>
      <c r="R21" s="14">
        <f>SUMPRODUCT(($E:$E=$P$2)*($D:$D=$P21),$L:$L)</f>
        <v>0</v>
      </c>
      <c r="S21" s="1" t="s">
        <v>67</v>
      </c>
      <c r="T21" s="1" t="s">
        <v>67</v>
      </c>
      <c r="U21" s="21"/>
    </row>
    <row r="22" spans="1:24" x14ac:dyDescent="0.25">
      <c r="A22" s="33">
        <v>20</v>
      </c>
      <c r="B22" s="1" t="s">
        <v>169</v>
      </c>
      <c r="C22" s="1">
        <v>6401961</v>
      </c>
      <c r="D22" s="33" t="s">
        <v>31</v>
      </c>
      <c r="E22" s="38">
        <v>46055</v>
      </c>
      <c r="F22" s="39">
        <v>0.39050925925925928</v>
      </c>
      <c r="G22" s="39">
        <v>0.41215277777777776</v>
      </c>
      <c r="H22" s="1" t="s">
        <v>103</v>
      </c>
      <c r="I22" s="1" t="s">
        <v>104</v>
      </c>
      <c r="J22" s="33">
        <v>19.82</v>
      </c>
      <c r="K22" s="33">
        <v>11.78</v>
      </c>
      <c r="L22" s="33">
        <f t="shared" si="0"/>
        <v>8.0400000000000009</v>
      </c>
      <c r="M22" s="40"/>
      <c r="O22" s="3">
        <v>19</v>
      </c>
      <c r="P22" s="19" t="s">
        <v>42</v>
      </c>
      <c r="Q22" s="4">
        <f>SUMPRODUCT(($E:$E=$P$2)*($D:$D=$P22))</f>
        <v>0</v>
      </c>
      <c r="R22" s="14">
        <f>SUMPRODUCT(($E:$E=$P$2)*($D:$D=$P22),$L:$L)</f>
        <v>0</v>
      </c>
      <c r="S22" s="1" t="s">
        <v>67</v>
      </c>
      <c r="T22" s="1" t="s">
        <v>67</v>
      </c>
    </row>
    <row r="23" spans="1:24" x14ac:dyDescent="0.25">
      <c r="A23" s="33">
        <v>21</v>
      </c>
      <c r="B23" s="33" t="s">
        <v>170</v>
      </c>
      <c r="C23" s="33">
        <v>3775012</v>
      </c>
      <c r="D23" s="13" t="s">
        <v>79</v>
      </c>
      <c r="E23" s="38">
        <v>46055</v>
      </c>
      <c r="F23" s="39">
        <v>0.40790509259259261</v>
      </c>
      <c r="G23" s="39">
        <v>0.4132986111111111</v>
      </c>
      <c r="H23" s="1" t="s">
        <v>171</v>
      </c>
      <c r="I23" s="1" t="s">
        <v>104</v>
      </c>
      <c r="J23" s="33">
        <v>4.8899999999999997</v>
      </c>
      <c r="K23" s="33">
        <v>4.7</v>
      </c>
      <c r="L23" s="33">
        <f t="shared" si="0"/>
        <v>0.1899999999999995</v>
      </c>
      <c r="M23" s="40"/>
      <c r="O23" s="3">
        <v>20</v>
      </c>
      <c r="P23" s="13" t="s">
        <v>79</v>
      </c>
      <c r="Q23" s="4">
        <f>SUMPRODUCT(($E:$E=$P$2)*($D:$D=$P23))</f>
        <v>1</v>
      </c>
      <c r="R23" s="14">
        <f>SUMPRODUCT(($E:$E=$P$2)*($D:$D=$P23),$L:$L)</f>
        <v>0.1899999999999995</v>
      </c>
      <c r="S23" s="4" t="s">
        <v>67</v>
      </c>
      <c r="T23" s="14" t="s">
        <v>67</v>
      </c>
    </row>
    <row r="24" spans="1:24" ht="16.5" customHeight="1" x14ac:dyDescent="0.25">
      <c r="A24" s="33">
        <v>22</v>
      </c>
      <c r="B24" s="33" t="s">
        <v>154</v>
      </c>
      <c r="C24" s="33">
        <v>6401907</v>
      </c>
      <c r="D24" s="33" t="s">
        <v>51</v>
      </c>
      <c r="E24" s="38">
        <v>46055</v>
      </c>
      <c r="F24" s="39">
        <v>0.41114583333333332</v>
      </c>
      <c r="G24" s="39">
        <v>0.44468750000000001</v>
      </c>
      <c r="H24" s="1" t="s">
        <v>120</v>
      </c>
      <c r="I24" s="1" t="s">
        <v>130</v>
      </c>
      <c r="J24" s="33">
        <v>7.42</v>
      </c>
      <c r="K24" s="33">
        <v>3.21</v>
      </c>
      <c r="L24" s="33">
        <f t="shared" si="0"/>
        <v>4.21</v>
      </c>
      <c r="M24" s="40" t="s">
        <v>56</v>
      </c>
      <c r="O24" s="3">
        <v>21</v>
      </c>
      <c r="P24" s="13" t="s">
        <v>87</v>
      </c>
      <c r="Q24" s="4">
        <f>SUMPRODUCT(($E:$E=$P$2)*($D:$D=$P24))</f>
        <v>0</v>
      </c>
      <c r="R24" s="14">
        <f>SUMPRODUCT(($E:$E=$P$2)*($D:$D=$P24),$L:$L)</f>
        <v>0</v>
      </c>
      <c r="S24" s="4" t="s">
        <v>67</v>
      </c>
      <c r="T24" s="14" t="s">
        <v>67</v>
      </c>
      <c r="U24" s="41"/>
      <c r="V24" s="32"/>
      <c r="W24" s="32"/>
      <c r="X24" s="32"/>
    </row>
    <row r="25" spans="1:24" x14ac:dyDescent="0.25">
      <c r="A25" s="33">
        <v>23</v>
      </c>
      <c r="B25" s="1" t="s">
        <v>172</v>
      </c>
      <c r="C25" s="33">
        <v>6799958</v>
      </c>
      <c r="D25" s="1" t="s">
        <v>99</v>
      </c>
      <c r="E25" s="38">
        <v>46055</v>
      </c>
      <c r="F25" s="39">
        <v>0.40160879629629631</v>
      </c>
      <c r="G25" s="39">
        <v>0.42723379629629632</v>
      </c>
      <c r="H25" s="1" t="s">
        <v>109</v>
      </c>
      <c r="I25" s="1" t="s">
        <v>106</v>
      </c>
      <c r="J25" s="33">
        <v>37.96</v>
      </c>
      <c r="K25" s="33">
        <v>19.7</v>
      </c>
      <c r="L25" s="33">
        <f t="shared" si="0"/>
        <v>18.260000000000002</v>
      </c>
      <c r="M25" s="40" t="s">
        <v>110</v>
      </c>
      <c r="O25" s="3">
        <v>22</v>
      </c>
      <c r="P25" s="17" t="s">
        <v>92</v>
      </c>
      <c r="Q25" s="4">
        <f>SUMPRODUCT(($E:$E=$P$2)*($D:$D=$P$25))</f>
        <v>0</v>
      </c>
      <c r="R25" s="14">
        <f>SUMPRODUCT(($E:$E=$P$2)*($D:$D=$P$25),$L:$L)</f>
        <v>0</v>
      </c>
      <c r="S25" s="4"/>
      <c r="T25" s="14"/>
      <c r="U25" s="37"/>
      <c r="V25" s="34"/>
      <c r="W25" s="34"/>
      <c r="X25" s="34"/>
    </row>
    <row r="26" spans="1:24" x14ac:dyDescent="0.25">
      <c r="A26" s="33">
        <v>24</v>
      </c>
      <c r="B26" s="33" t="s">
        <v>111</v>
      </c>
      <c r="C26" s="33">
        <v>6799962</v>
      </c>
      <c r="D26" s="1" t="s">
        <v>99</v>
      </c>
      <c r="E26" s="38">
        <v>46055</v>
      </c>
      <c r="F26" s="39">
        <v>0.41953703703703704</v>
      </c>
      <c r="G26" s="39">
        <v>0.44261574074074073</v>
      </c>
      <c r="H26" s="1" t="s">
        <v>109</v>
      </c>
      <c r="I26" s="1" t="s">
        <v>106</v>
      </c>
      <c r="J26" s="33">
        <v>37.26</v>
      </c>
      <c r="K26" s="33">
        <v>19.809999999999999</v>
      </c>
      <c r="L26" s="33">
        <f t="shared" si="0"/>
        <v>17.45</v>
      </c>
      <c r="M26" s="40" t="s">
        <v>110</v>
      </c>
      <c r="O26" s="3">
        <v>23</v>
      </c>
      <c r="P26" s="13" t="s">
        <v>77</v>
      </c>
      <c r="Q26" s="4" t="s">
        <v>67</v>
      </c>
      <c r="R26" s="14" t="s">
        <v>67</v>
      </c>
      <c r="S26" s="4">
        <f>SUMPRODUCT(($E:$E=$P$2)*($D:$D=$P$26)*($M:$M="建農"))</f>
        <v>0</v>
      </c>
      <c r="T26" s="14">
        <f>SUMPRODUCT(($E:$E=$P$2)*($D:$D=$P$26)*($M:$M="建農"),$L:$L)</f>
        <v>0</v>
      </c>
      <c r="U26" s="36"/>
      <c r="V26" s="35"/>
      <c r="W26" s="35"/>
      <c r="X26" s="35"/>
    </row>
    <row r="27" spans="1:24" x14ac:dyDescent="0.25">
      <c r="A27" s="33">
        <v>25</v>
      </c>
      <c r="B27" s="33" t="s">
        <v>118</v>
      </c>
      <c r="C27" s="33">
        <v>3774991</v>
      </c>
      <c r="D27" s="1" t="s">
        <v>19</v>
      </c>
      <c r="E27" s="38">
        <v>46055</v>
      </c>
      <c r="F27" s="39">
        <v>0.41350694444444447</v>
      </c>
      <c r="G27" s="39">
        <v>0.44621527777777775</v>
      </c>
      <c r="H27" s="1" t="s">
        <v>103</v>
      </c>
      <c r="I27" s="1" t="s">
        <v>104</v>
      </c>
      <c r="J27" s="33">
        <v>13.19</v>
      </c>
      <c r="K27" s="33">
        <v>9.81</v>
      </c>
      <c r="L27" s="33">
        <f t="shared" si="0"/>
        <v>3.379999999999999</v>
      </c>
      <c r="M27" s="40"/>
      <c r="O27" s="3">
        <v>24</v>
      </c>
      <c r="P27" s="13" t="s">
        <v>80</v>
      </c>
      <c r="Q27" s="4" t="s">
        <v>67</v>
      </c>
      <c r="R27" s="14" t="s">
        <v>67</v>
      </c>
      <c r="S27" s="4">
        <f>SUMPRODUCT(($E:$E=$P$2)*($D:$D=$P$20)*($M:$M="小犬"))</f>
        <v>0</v>
      </c>
      <c r="T27" s="14">
        <f>SUMPRODUCT(($E:$E=$P$2)*($D:$D=$P$20)*($M:$M="小犬"),$L:$L)</f>
        <v>0</v>
      </c>
    </row>
    <row r="28" spans="1:24" x14ac:dyDescent="0.25">
      <c r="A28" s="33">
        <v>26</v>
      </c>
      <c r="B28" s="1" t="s">
        <v>173</v>
      </c>
      <c r="C28" s="33">
        <v>6799938</v>
      </c>
      <c r="D28" s="33" t="s">
        <v>32</v>
      </c>
      <c r="E28" s="38">
        <v>46055</v>
      </c>
      <c r="F28" s="39">
        <v>0.4440277777777778</v>
      </c>
      <c r="G28" s="39">
        <v>0.46738425925925925</v>
      </c>
      <c r="H28" s="1" t="s">
        <v>103</v>
      </c>
      <c r="I28" s="1" t="s">
        <v>104</v>
      </c>
      <c r="J28" s="33">
        <v>9.7100000000000009</v>
      </c>
      <c r="K28" s="33">
        <v>7.4</v>
      </c>
      <c r="L28" s="33">
        <f t="shared" si="0"/>
        <v>2.3100000000000005</v>
      </c>
      <c r="M28" s="40"/>
      <c r="N28" s="22"/>
      <c r="O28" s="3">
        <v>25</v>
      </c>
      <c r="P28" s="13" t="s">
        <v>82</v>
      </c>
      <c r="Q28" s="4" t="s">
        <v>67</v>
      </c>
      <c r="R28" s="14" t="s">
        <v>67</v>
      </c>
      <c r="S28" s="4">
        <f>SUMPRODUCT(($E:$E=$P$2)*($D:$D=$P$28)*($M:$M="關山鎮"))</f>
        <v>0</v>
      </c>
      <c r="T28" s="14">
        <f>SUMPRODUCT(($E:$E=$P$2)*($D:$D=$P$28)*($M:$M="關山鎮"),$L:$L)</f>
        <v>0</v>
      </c>
    </row>
    <row r="29" spans="1:24" x14ac:dyDescent="0.25">
      <c r="A29" s="33">
        <v>27</v>
      </c>
      <c r="B29" s="1" t="s">
        <v>174</v>
      </c>
      <c r="C29" s="1">
        <v>6401936</v>
      </c>
      <c r="D29" s="1" t="s">
        <v>99</v>
      </c>
      <c r="E29" s="38">
        <v>46055</v>
      </c>
      <c r="F29" s="39">
        <v>0.43032407407407408</v>
      </c>
      <c r="G29" s="39">
        <v>0.47225694444444444</v>
      </c>
      <c r="H29" s="1" t="s">
        <v>109</v>
      </c>
      <c r="I29" s="1" t="s">
        <v>106</v>
      </c>
      <c r="J29" s="33">
        <v>28.15</v>
      </c>
      <c r="K29" s="33">
        <v>15.99</v>
      </c>
      <c r="L29" s="33">
        <f t="shared" si="0"/>
        <v>12.159999999999998</v>
      </c>
      <c r="M29" s="40" t="s">
        <v>110</v>
      </c>
      <c r="O29" s="3">
        <v>26</v>
      </c>
      <c r="P29" s="13" t="s">
        <v>84</v>
      </c>
      <c r="Q29" s="4" t="s">
        <v>67</v>
      </c>
      <c r="R29" s="14" t="s">
        <v>67</v>
      </c>
      <c r="S29" s="4">
        <f>SUMPRODUCT(($E:$E=$P$2)*($D:$D=$P$29)*($M:$M="池上鄉"))</f>
        <v>0</v>
      </c>
      <c r="T29" s="14">
        <f>SUMPRODUCT(($E:$E=$P$2)*($D:$D=$P$29)*($M:$M="池上鄉"),$L:$L)</f>
        <v>0</v>
      </c>
      <c r="U29" s="21"/>
    </row>
    <row r="30" spans="1:24" x14ac:dyDescent="0.25">
      <c r="A30" s="33">
        <v>28</v>
      </c>
      <c r="B30" s="33" t="s">
        <v>115</v>
      </c>
      <c r="C30" s="33">
        <v>3774990</v>
      </c>
      <c r="D30" s="1" t="s">
        <v>19</v>
      </c>
      <c r="E30" s="38">
        <v>46055</v>
      </c>
      <c r="F30" s="39">
        <v>0.44655092592592593</v>
      </c>
      <c r="G30" s="39">
        <v>0.47460648148148149</v>
      </c>
      <c r="H30" s="1" t="s">
        <v>103</v>
      </c>
      <c r="I30" s="1" t="s">
        <v>104</v>
      </c>
      <c r="J30" s="33">
        <v>15.02</v>
      </c>
      <c r="K30" s="33">
        <v>9.64</v>
      </c>
      <c r="L30" s="33">
        <f t="shared" si="0"/>
        <v>5.379999999999999</v>
      </c>
      <c r="M30" s="40"/>
      <c r="O30" s="3">
        <v>27</v>
      </c>
      <c r="P30" s="17" t="s">
        <v>88</v>
      </c>
      <c r="Q30" s="4" t="s">
        <v>67</v>
      </c>
      <c r="R30" s="14" t="s">
        <v>67</v>
      </c>
      <c r="S30" s="4">
        <f>SUMPRODUCT(($E:$E=$P$2)*($D:$D=$P$30)*($M:$M="太麻里"))</f>
        <v>0</v>
      </c>
      <c r="T30" s="14">
        <f>SUMPRODUCT(($E:$E=$P$2)*($D:$D=$P$30)*($M:$M="太麻里"),$L:$L)</f>
        <v>0</v>
      </c>
    </row>
    <row r="31" spans="1:24" x14ac:dyDescent="0.25">
      <c r="A31" s="33">
        <v>29</v>
      </c>
      <c r="B31" s="33" t="s">
        <v>117</v>
      </c>
      <c r="C31" s="33">
        <v>6799963</v>
      </c>
      <c r="D31" s="1" t="s">
        <v>99</v>
      </c>
      <c r="E31" s="38">
        <v>46055</v>
      </c>
      <c r="F31" s="39">
        <v>0.46883101851851849</v>
      </c>
      <c r="G31" s="39">
        <v>0.48055555555555557</v>
      </c>
      <c r="H31" s="1" t="s">
        <v>109</v>
      </c>
      <c r="I31" s="1" t="s">
        <v>106</v>
      </c>
      <c r="J31" s="33">
        <v>37.729999999999997</v>
      </c>
      <c r="K31" s="33">
        <v>19.57</v>
      </c>
      <c r="L31" s="33">
        <f t="shared" si="0"/>
        <v>18.159999999999997</v>
      </c>
      <c r="M31" s="40" t="s">
        <v>110</v>
      </c>
      <c r="O31" s="3">
        <v>28</v>
      </c>
      <c r="P31" s="17" t="s">
        <v>91</v>
      </c>
      <c r="Q31" s="4" t="s">
        <v>67</v>
      </c>
      <c r="R31" s="14" t="s">
        <v>67</v>
      </c>
      <c r="S31" s="4">
        <f>SUMPRODUCT(($E:$E=$P$2)*($D:$D=$P$31)*($M:$M="東河鄉"))</f>
        <v>0</v>
      </c>
      <c r="T31" s="14">
        <f>SUMPRODUCT(($E:$E=$P$2)*($D:$D=$P$31)*($M:$M="東河鄉"),$L:$L)</f>
        <v>0</v>
      </c>
    </row>
    <row r="32" spans="1:24" x14ac:dyDescent="0.25">
      <c r="A32" s="33">
        <v>30</v>
      </c>
      <c r="B32" s="1" t="s">
        <v>175</v>
      </c>
      <c r="C32" s="1">
        <v>3774962</v>
      </c>
      <c r="D32" s="33" t="s">
        <v>176</v>
      </c>
      <c r="E32" s="38">
        <v>46055</v>
      </c>
      <c r="F32" s="39">
        <v>0.47310185185185183</v>
      </c>
      <c r="G32" s="39">
        <v>0.48743055555555553</v>
      </c>
      <c r="H32" s="1" t="s">
        <v>103</v>
      </c>
      <c r="I32" s="1" t="s">
        <v>104</v>
      </c>
      <c r="J32" s="33">
        <v>17.899999999999999</v>
      </c>
      <c r="K32" s="33">
        <v>11.95</v>
      </c>
      <c r="L32" s="33">
        <f t="shared" si="0"/>
        <v>5.9499999999999993</v>
      </c>
      <c r="M32" s="40"/>
      <c r="O32" s="3">
        <v>29</v>
      </c>
      <c r="P32" s="17" t="s">
        <v>97</v>
      </c>
      <c r="Q32" s="4" t="s">
        <v>67</v>
      </c>
      <c r="R32" s="14" t="s">
        <v>67</v>
      </c>
      <c r="S32" s="4">
        <f>SUMPRODUCT(($E:$E=$P$2)*($D:$D=$P$32)*($M:$M="達仁鄉"))</f>
        <v>0</v>
      </c>
      <c r="T32" s="14">
        <f>SUMPRODUCT(($E:$E=$P$2)*($D:$D=$P$32)*($M:$M="達仁鄉"),$L:$L)</f>
        <v>0</v>
      </c>
    </row>
    <row r="33" spans="1:20" x14ac:dyDescent="0.25">
      <c r="A33" s="33">
        <v>31</v>
      </c>
      <c r="B33" s="33" t="s">
        <v>116</v>
      </c>
      <c r="C33" s="33">
        <v>6799960</v>
      </c>
      <c r="D33" s="1" t="s">
        <v>99</v>
      </c>
      <c r="E33" s="38">
        <v>46055</v>
      </c>
      <c r="F33" s="39">
        <v>0.47697916666666668</v>
      </c>
      <c r="G33" s="39">
        <v>0.50497685185185182</v>
      </c>
      <c r="H33" s="1" t="s">
        <v>109</v>
      </c>
      <c r="I33" s="1" t="s">
        <v>106</v>
      </c>
      <c r="J33" s="33">
        <v>37.840000000000003</v>
      </c>
      <c r="K33" s="33">
        <v>19.62</v>
      </c>
      <c r="L33" s="33">
        <f t="shared" si="0"/>
        <v>18.220000000000002</v>
      </c>
      <c r="M33" s="40" t="s">
        <v>110</v>
      </c>
      <c r="O33" s="3">
        <v>30</v>
      </c>
      <c r="P33" s="17" t="s">
        <v>95</v>
      </c>
      <c r="Q33" s="4" t="s">
        <v>67</v>
      </c>
      <c r="R33" s="14" t="s">
        <v>67</v>
      </c>
      <c r="S33" s="4">
        <f>SUMPRODUCT(($E:$E=$P$2)*($D:$D=$P$33)*($M:$M="高雄市"))</f>
        <v>0</v>
      </c>
      <c r="T33" s="14">
        <f>SUMPRODUCT(($E:$E=$P$2)*($D:$D=$P$33)*($M:$M="高雄市"),$L:$L)</f>
        <v>0</v>
      </c>
    </row>
    <row r="34" spans="1:20" x14ac:dyDescent="0.25">
      <c r="A34" s="33">
        <v>32</v>
      </c>
      <c r="B34" s="33" t="s">
        <v>177</v>
      </c>
      <c r="C34" s="33">
        <v>3775048</v>
      </c>
      <c r="D34" s="33" t="s">
        <v>50</v>
      </c>
      <c r="E34" s="38">
        <v>46055</v>
      </c>
      <c r="F34" s="39">
        <v>0.48561342592592593</v>
      </c>
      <c r="G34" s="39">
        <v>0.49813657407407408</v>
      </c>
      <c r="H34" s="1" t="s">
        <v>120</v>
      </c>
      <c r="I34" s="1" t="s">
        <v>121</v>
      </c>
      <c r="J34" s="33">
        <v>24.48</v>
      </c>
      <c r="K34" s="33">
        <v>18.82</v>
      </c>
      <c r="L34" s="33">
        <f t="shared" si="0"/>
        <v>5.66</v>
      </c>
      <c r="M34" s="40"/>
      <c r="O34" s="3">
        <v>31</v>
      </c>
      <c r="P34" s="17" t="s">
        <v>98</v>
      </c>
      <c r="Q34" s="4" t="s">
        <v>67</v>
      </c>
      <c r="R34" s="14" t="s">
        <v>67</v>
      </c>
      <c r="S34" s="4">
        <f>SUMPRODUCT(($E:$E=$P$2)*($D:$D=$P$34)*($M:$M="花蓮縣"))</f>
        <v>4</v>
      </c>
      <c r="T34" s="14">
        <f>SUMPRODUCT(($E:$E=$P$2)*($D:$D=$P$34)*($M:$M="花蓮縣"),$L:$L)</f>
        <v>69.55</v>
      </c>
    </row>
    <row r="35" spans="1:20" x14ac:dyDescent="0.25">
      <c r="A35" s="33">
        <v>33</v>
      </c>
      <c r="B35" s="33" t="s">
        <v>178</v>
      </c>
      <c r="C35" s="33">
        <v>6401966</v>
      </c>
      <c r="D35" s="1" t="s">
        <v>73</v>
      </c>
      <c r="E35" s="38">
        <v>46055</v>
      </c>
      <c r="F35" s="39">
        <v>0.48465277777777777</v>
      </c>
      <c r="G35" s="39">
        <v>0.50085648148148143</v>
      </c>
      <c r="H35" s="1" t="s">
        <v>120</v>
      </c>
      <c r="I35" s="1" t="s">
        <v>121</v>
      </c>
      <c r="J35" s="33">
        <v>11.34</v>
      </c>
      <c r="K35" s="33">
        <v>8.7200000000000006</v>
      </c>
      <c r="L35" s="33">
        <f t="shared" si="0"/>
        <v>2.6199999999999992</v>
      </c>
      <c r="M35" s="40"/>
      <c r="O35" s="3">
        <v>32</v>
      </c>
      <c r="P35" s="17" t="s">
        <v>99</v>
      </c>
      <c r="Q35" s="4" t="s">
        <v>100</v>
      </c>
      <c r="R35" s="14" t="s">
        <v>100</v>
      </c>
      <c r="S35" s="4">
        <f>SUMPRODUCT(($E:$E=$P$2)*($D:$D=$P$35)*($M:$M="南投縣"))</f>
        <v>10</v>
      </c>
      <c r="T35" s="14">
        <f>SUMPRODUCT(($E:$E=$P$2)*($D:$D=$P$35)*($M:$M="南投縣"),$L:$L)</f>
        <v>174.53</v>
      </c>
    </row>
    <row r="36" spans="1:20" x14ac:dyDescent="0.25">
      <c r="A36" s="33">
        <v>34</v>
      </c>
      <c r="B36" s="33" t="s">
        <v>119</v>
      </c>
      <c r="C36" s="33">
        <v>3774977</v>
      </c>
      <c r="D36" s="33" t="s">
        <v>48</v>
      </c>
      <c r="E36" s="38">
        <v>46055</v>
      </c>
      <c r="F36" s="39">
        <v>0.56281250000000005</v>
      </c>
      <c r="G36" s="39">
        <v>0.57425925925925925</v>
      </c>
      <c r="H36" s="1" t="s">
        <v>120</v>
      </c>
      <c r="I36" s="1" t="s">
        <v>121</v>
      </c>
      <c r="J36" s="33">
        <v>12.83</v>
      </c>
      <c r="K36" s="33">
        <v>7.93</v>
      </c>
      <c r="L36" s="33">
        <f t="shared" si="0"/>
        <v>4.9000000000000004</v>
      </c>
      <c r="M36" s="40"/>
      <c r="N36" s="22"/>
      <c r="O36" s="25" t="s">
        <v>45</v>
      </c>
      <c r="P36" s="26"/>
      <c r="Q36" s="8">
        <f>SUM(Q4:Q25)</f>
        <v>62</v>
      </c>
      <c r="R36" s="9">
        <f>SUM(R4:R25)</f>
        <v>199.69</v>
      </c>
      <c r="S36" s="8">
        <f>SUM(S4:S35)</f>
        <v>14</v>
      </c>
      <c r="T36" s="9">
        <f>SUM(T4:T35)</f>
        <v>244.07999999999998</v>
      </c>
    </row>
    <row r="37" spans="1:20" x14ac:dyDescent="0.25">
      <c r="A37" s="33">
        <v>35</v>
      </c>
      <c r="B37" s="1" t="s">
        <v>118</v>
      </c>
      <c r="C37" s="33">
        <v>3774991</v>
      </c>
      <c r="D37" s="1" t="s">
        <v>19</v>
      </c>
      <c r="E37" s="38">
        <v>46055</v>
      </c>
      <c r="F37" s="39">
        <v>0.57208333333333339</v>
      </c>
      <c r="G37" s="39">
        <v>0.57662037037037039</v>
      </c>
      <c r="H37" s="1" t="s">
        <v>103</v>
      </c>
      <c r="I37" s="1" t="s">
        <v>104</v>
      </c>
      <c r="J37" s="33">
        <v>13.01</v>
      </c>
      <c r="K37" s="33">
        <v>9.81</v>
      </c>
      <c r="L37" s="33">
        <f t="shared" si="0"/>
        <v>3.1999999999999993</v>
      </c>
      <c r="M37" s="40"/>
      <c r="O37" s="20"/>
    </row>
    <row r="38" spans="1:20" x14ac:dyDescent="0.25">
      <c r="A38" s="33">
        <v>36</v>
      </c>
      <c r="B38" s="33" t="s">
        <v>122</v>
      </c>
      <c r="C38" s="33">
        <v>6799954</v>
      </c>
      <c r="D38" s="1" t="s">
        <v>98</v>
      </c>
      <c r="E38" s="38">
        <v>46055</v>
      </c>
      <c r="F38" s="39">
        <v>0.57799768518518524</v>
      </c>
      <c r="G38" s="39">
        <v>0.60261574074074076</v>
      </c>
      <c r="H38" s="1" t="s">
        <v>105</v>
      </c>
      <c r="I38" s="1" t="s">
        <v>106</v>
      </c>
      <c r="J38" s="33">
        <v>38.35</v>
      </c>
      <c r="K38" s="33">
        <v>19.670000000000002</v>
      </c>
      <c r="L38" s="33">
        <f t="shared" si="0"/>
        <v>18.68</v>
      </c>
      <c r="M38" s="40" t="s">
        <v>107</v>
      </c>
    </row>
    <row r="39" spans="1:20" x14ac:dyDescent="0.25">
      <c r="A39" s="33">
        <v>37</v>
      </c>
      <c r="B39" s="33" t="s">
        <v>158</v>
      </c>
      <c r="C39" s="33">
        <v>6799956</v>
      </c>
      <c r="D39" s="1" t="s">
        <v>98</v>
      </c>
      <c r="E39" s="38">
        <v>46055</v>
      </c>
      <c r="F39" s="39">
        <v>0.58188657407407407</v>
      </c>
      <c r="G39" s="39">
        <v>0.61936342592592597</v>
      </c>
      <c r="H39" s="1" t="s">
        <v>105</v>
      </c>
      <c r="I39" s="1" t="s">
        <v>106</v>
      </c>
      <c r="J39" s="33">
        <v>37.86</v>
      </c>
      <c r="K39" s="33">
        <v>19.989999999999998</v>
      </c>
      <c r="L39" s="33">
        <f t="shared" si="0"/>
        <v>17.87</v>
      </c>
      <c r="M39" s="40" t="s">
        <v>107</v>
      </c>
      <c r="O39" s="3" t="s">
        <v>14</v>
      </c>
      <c r="P39" s="11" t="s">
        <v>46</v>
      </c>
      <c r="Q39" s="11" t="s">
        <v>16</v>
      </c>
      <c r="R39" s="11" t="s">
        <v>17</v>
      </c>
    </row>
    <row r="40" spans="1:20" x14ac:dyDescent="0.25">
      <c r="A40" s="33">
        <v>38</v>
      </c>
      <c r="B40" s="1" t="s">
        <v>169</v>
      </c>
      <c r="C40" s="1">
        <v>6401961</v>
      </c>
      <c r="D40" s="1" t="s">
        <v>31</v>
      </c>
      <c r="E40" s="38">
        <v>46055</v>
      </c>
      <c r="F40" s="39">
        <v>0.60358796296296291</v>
      </c>
      <c r="G40" s="39">
        <v>0.6236342592592593</v>
      </c>
      <c r="H40" s="1" t="s">
        <v>103</v>
      </c>
      <c r="I40" s="1" t="s">
        <v>104</v>
      </c>
      <c r="J40" s="33">
        <v>19.559999999999999</v>
      </c>
      <c r="K40" s="33">
        <v>11.83</v>
      </c>
      <c r="L40" s="33">
        <f t="shared" si="0"/>
        <v>7.7299999999999986</v>
      </c>
      <c r="M40" s="40"/>
      <c r="O40" s="3">
        <v>1</v>
      </c>
      <c r="P40" s="15" t="s">
        <v>47</v>
      </c>
      <c r="Q40" s="4">
        <f>SUMPRODUCT(($E:$E=$P$2)*($D:$D=$P40))-Q56</f>
        <v>0</v>
      </c>
      <c r="R40" s="14">
        <f>SUMPRODUCT(($E:$E=$P$2)*($D:$D=$P40),$L:$L)-R56</f>
        <v>0</v>
      </c>
    </row>
    <row r="41" spans="1:20" x14ac:dyDescent="0.25">
      <c r="A41" s="33">
        <v>39</v>
      </c>
      <c r="B41" s="1" t="s">
        <v>134</v>
      </c>
      <c r="C41" s="1">
        <v>6401939</v>
      </c>
      <c r="D41" s="33" t="s">
        <v>48</v>
      </c>
      <c r="E41" s="38">
        <v>46055</v>
      </c>
      <c r="F41" s="39">
        <v>0.62077546296296293</v>
      </c>
      <c r="G41" s="39">
        <v>0.62752314814814814</v>
      </c>
      <c r="H41" s="1" t="s">
        <v>120</v>
      </c>
      <c r="I41" s="1" t="s">
        <v>121</v>
      </c>
      <c r="J41" s="33">
        <v>11.36</v>
      </c>
      <c r="K41" s="33">
        <v>10.14</v>
      </c>
      <c r="L41" s="33">
        <f t="shared" si="0"/>
        <v>1.2199999999999989</v>
      </c>
      <c r="M41" s="40"/>
      <c r="O41" s="3">
        <v>2</v>
      </c>
      <c r="P41" s="15" t="s">
        <v>48</v>
      </c>
      <c r="Q41" s="4">
        <f>SUMPRODUCT(($E:$E=$P$2)*($D:$D=$P41))</f>
        <v>4</v>
      </c>
      <c r="R41" s="14">
        <f>SUMPRODUCT(($E:$E=$P$2)*($D:$D=$P41),$L:$L)</f>
        <v>11.53</v>
      </c>
    </row>
    <row r="42" spans="1:20" x14ac:dyDescent="0.25">
      <c r="A42" s="33">
        <v>40</v>
      </c>
      <c r="B42" s="33" t="s">
        <v>175</v>
      </c>
      <c r="C42" s="33">
        <v>3774962</v>
      </c>
      <c r="D42" s="33" t="s">
        <v>176</v>
      </c>
      <c r="E42" s="38">
        <v>46055</v>
      </c>
      <c r="F42" s="39">
        <v>0.62851851851851848</v>
      </c>
      <c r="G42" s="39">
        <v>0.63214120370370375</v>
      </c>
      <c r="H42" s="1" t="s">
        <v>103</v>
      </c>
      <c r="I42" s="1" t="s">
        <v>104</v>
      </c>
      <c r="J42" s="33">
        <v>18</v>
      </c>
      <c r="K42" s="33">
        <v>11.94</v>
      </c>
      <c r="L42" s="33">
        <f t="shared" si="0"/>
        <v>6.0600000000000005</v>
      </c>
      <c r="M42" s="40"/>
      <c r="O42" s="3">
        <v>3</v>
      </c>
      <c r="P42" s="16" t="s">
        <v>49</v>
      </c>
      <c r="Q42" s="4">
        <f t="array" ref="Q42">SUMPRODUCT(($E:$E=$P$2)*($D:$D=$P42))</f>
        <v>0</v>
      </c>
      <c r="R42" s="14">
        <f>SUMPRODUCT(($E:$E=$P$2)*($D:$D=$P42),$L:$L)</f>
        <v>0</v>
      </c>
    </row>
    <row r="43" spans="1:20" x14ac:dyDescent="0.25">
      <c r="A43" s="33">
        <v>41</v>
      </c>
      <c r="B43" s="33" t="s">
        <v>179</v>
      </c>
      <c r="C43" s="33">
        <v>6402020</v>
      </c>
      <c r="D43" s="33" t="s">
        <v>48</v>
      </c>
      <c r="E43" s="38">
        <v>46055</v>
      </c>
      <c r="F43" s="39">
        <v>0.63164351851851852</v>
      </c>
      <c r="G43" s="39">
        <v>0.63597222222222227</v>
      </c>
      <c r="H43" s="1" t="s">
        <v>120</v>
      </c>
      <c r="I43" s="1" t="s">
        <v>121</v>
      </c>
      <c r="J43" s="33">
        <v>10.77</v>
      </c>
      <c r="K43" s="33">
        <v>6.96</v>
      </c>
      <c r="L43" s="33">
        <f t="shared" si="0"/>
        <v>3.8099999999999996</v>
      </c>
      <c r="M43" s="40"/>
      <c r="O43" s="3">
        <v>4</v>
      </c>
      <c r="P43" s="16" t="s">
        <v>50</v>
      </c>
      <c r="Q43" s="4">
        <f>SUMPRODUCT(($E:$E=$P$2)*($D:$D=$P43))</f>
        <v>1</v>
      </c>
      <c r="R43" s="14">
        <f>SUMPRODUCT(($E:$E=$P$2)*($D:$D=$P43),$L:$L)</f>
        <v>5.66</v>
      </c>
    </row>
    <row r="44" spans="1:20" x14ac:dyDescent="0.25">
      <c r="A44" s="33">
        <v>42</v>
      </c>
      <c r="B44" s="1" t="s">
        <v>128</v>
      </c>
      <c r="C44" s="1">
        <v>6401904</v>
      </c>
      <c r="D44" s="1" t="s">
        <v>129</v>
      </c>
      <c r="E44" s="38">
        <v>46055</v>
      </c>
      <c r="F44" s="39">
        <v>0.63878472222222227</v>
      </c>
      <c r="G44" s="39">
        <v>0.6598032407407407</v>
      </c>
      <c r="H44" s="1" t="s">
        <v>120</v>
      </c>
      <c r="I44" s="1" t="s">
        <v>130</v>
      </c>
      <c r="J44" s="33">
        <v>6.6</v>
      </c>
      <c r="K44" s="33">
        <v>3.73</v>
      </c>
      <c r="L44" s="33">
        <f t="shared" si="0"/>
        <v>2.8699999999999997</v>
      </c>
      <c r="M44" s="40" t="s">
        <v>56</v>
      </c>
      <c r="O44" s="3">
        <v>5</v>
      </c>
      <c r="P44" s="17" t="s">
        <v>51</v>
      </c>
      <c r="Q44" s="4">
        <f>SUMPRODUCT(($E:$E=$P$2)*($D:$D=$P44))-Q57</f>
        <v>0</v>
      </c>
      <c r="R44" s="14">
        <f>SUMPRODUCT(($E:$E=$P$2)*($D:$D=$P44),$L:$L)-R57</f>
        <v>0</v>
      </c>
    </row>
    <row r="45" spans="1:20" x14ac:dyDescent="0.25">
      <c r="A45" s="33">
        <v>43</v>
      </c>
      <c r="B45" s="33" t="s">
        <v>135</v>
      </c>
      <c r="C45" s="33">
        <v>6401908</v>
      </c>
      <c r="D45" s="1" t="s">
        <v>129</v>
      </c>
      <c r="E45" s="38">
        <v>46055</v>
      </c>
      <c r="F45" s="39">
        <v>0.68062500000000004</v>
      </c>
      <c r="G45" s="39">
        <v>0.66025462962962966</v>
      </c>
      <c r="H45" s="1" t="s">
        <v>120</v>
      </c>
      <c r="I45" s="1" t="s">
        <v>130</v>
      </c>
      <c r="J45" s="33">
        <v>5.61</v>
      </c>
      <c r="K45" s="33">
        <v>3.4</v>
      </c>
      <c r="L45" s="33">
        <f t="shared" si="0"/>
        <v>2.2100000000000004</v>
      </c>
      <c r="M45" s="40" t="s">
        <v>56</v>
      </c>
      <c r="O45" s="3">
        <v>6</v>
      </c>
      <c r="P45" s="18" t="s">
        <v>52</v>
      </c>
      <c r="Q45" s="4">
        <f t="shared" ref="Q45:Q55" si="1">SUMPRODUCT(($E:$E=$P$2)*($D:$D=$P45)*($I:$I="一般事業廢棄物"))</f>
        <v>0</v>
      </c>
      <c r="R45" s="14">
        <f t="shared" ref="R45:R55" si="2">SUMPRODUCT(($E:$E=$P$2)*($D:$D=$P45)*($I:$I="一般事業廢棄物"),$L:$L)</f>
        <v>0</v>
      </c>
    </row>
    <row r="46" spans="1:20" x14ac:dyDescent="0.25">
      <c r="A46" s="33">
        <v>44</v>
      </c>
      <c r="B46" s="1" t="s">
        <v>115</v>
      </c>
      <c r="C46" s="1">
        <v>3774990</v>
      </c>
      <c r="D46" s="1" t="s">
        <v>19</v>
      </c>
      <c r="E46" s="38">
        <v>46055</v>
      </c>
      <c r="F46" s="39">
        <v>0.63895833333333329</v>
      </c>
      <c r="G46" s="39">
        <v>0.64504629629629628</v>
      </c>
      <c r="H46" s="1" t="s">
        <v>103</v>
      </c>
      <c r="I46" s="1" t="s">
        <v>104</v>
      </c>
      <c r="J46" s="33">
        <v>13.14</v>
      </c>
      <c r="K46" s="33">
        <v>9.6199999999999992</v>
      </c>
      <c r="L46" s="33">
        <f t="shared" si="0"/>
        <v>3.5200000000000014</v>
      </c>
      <c r="M46" s="40"/>
      <c r="O46" s="3">
        <v>7</v>
      </c>
      <c r="P46" s="18" t="s">
        <v>72</v>
      </c>
      <c r="Q46" s="4">
        <f t="shared" si="1"/>
        <v>0</v>
      </c>
      <c r="R46" s="14">
        <f t="shared" si="2"/>
        <v>0</v>
      </c>
    </row>
    <row r="47" spans="1:20" x14ac:dyDescent="0.25">
      <c r="A47" s="33">
        <v>45</v>
      </c>
      <c r="B47" s="33" t="s">
        <v>119</v>
      </c>
      <c r="C47" s="33">
        <v>3774977</v>
      </c>
      <c r="D47" s="33" t="s">
        <v>48</v>
      </c>
      <c r="E47" s="38">
        <v>46055</v>
      </c>
      <c r="F47" s="39">
        <v>0.63997685185185182</v>
      </c>
      <c r="G47" s="39">
        <v>0.65445601851851853</v>
      </c>
      <c r="H47" s="1" t="s">
        <v>120</v>
      </c>
      <c r="I47" s="1" t="s">
        <v>121</v>
      </c>
      <c r="J47" s="33">
        <v>9.52</v>
      </c>
      <c r="K47" s="33">
        <v>7.92</v>
      </c>
      <c r="L47" s="33">
        <f t="shared" si="0"/>
        <v>1.5999999999999996</v>
      </c>
      <c r="M47" s="40"/>
      <c r="O47" s="3">
        <v>8</v>
      </c>
      <c r="P47" s="18" t="s">
        <v>73</v>
      </c>
      <c r="Q47" s="4">
        <f t="shared" si="1"/>
        <v>1</v>
      </c>
      <c r="R47" s="14">
        <f t="shared" si="2"/>
        <v>2.6199999999999992</v>
      </c>
    </row>
    <row r="48" spans="1:20" x14ac:dyDescent="0.25">
      <c r="A48" s="33">
        <v>46</v>
      </c>
      <c r="B48" s="33" t="s">
        <v>180</v>
      </c>
      <c r="C48" s="33">
        <v>6401973</v>
      </c>
      <c r="D48" s="1" t="s">
        <v>76</v>
      </c>
      <c r="E48" s="38">
        <v>46055</v>
      </c>
      <c r="F48" s="39">
        <v>0.65108796296296301</v>
      </c>
      <c r="G48" s="39">
        <v>0.677337962962963</v>
      </c>
      <c r="H48" s="1" t="s">
        <v>120</v>
      </c>
      <c r="I48" s="1" t="s">
        <v>121</v>
      </c>
      <c r="J48" s="33">
        <v>14.26</v>
      </c>
      <c r="K48" s="33">
        <v>13.44</v>
      </c>
      <c r="L48" s="33">
        <f t="shared" si="0"/>
        <v>0.82000000000000028</v>
      </c>
      <c r="M48" s="40"/>
      <c r="O48" s="3">
        <v>9</v>
      </c>
      <c r="P48" s="13" t="s">
        <v>74</v>
      </c>
      <c r="Q48" s="4">
        <f t="shared" si="1"/>
        <v>0</v>
      </c>
      <c r="R48" s="14">
        <f t="shared" si="2"/>
        <v>0</v>
      </c>
    </row>
    <row r="49" spans="1:23" x14ac:dyDescent="0.25">
      <c r="A49" s="33">
        <v>47</v>
      </c>
      <c r="B49" s="1" t="s">
        <v>136</v>
      </c>
      <c r="C49" s="1">
        <v>6799939</v>
      </c>
      <c r="D49" s="1" t="s">
        <v>19</v>
      </c>
      <c r="E49" s="38">
        <v>46055</v>
      </c>
      <c r="F49" s="39">
        <v>0.72688657407407409</v>
      </c>
      <c r="G49" s="39">
        <v>0.73126157407407411</v>
      </c>
      <c r="H49" s="1" t="s">
        <v>103</v>
      </c>
      <c r="I49" s="1" t="s">
        <v>104</v>
      </c>
      <c r="J49" s="33">
        <v>2.86</v>
      </c>
      <c r="K49" s="33">
        <v>1.87</v>
      </c>
      <c r="L49" s="33">
        <f t="shared" si="0"/>
        <v>0.98999999999999977</v>
      </c>
      <c r="M49" s="40"/>
      <c r="O49" s="3">
        <v>10</v>
      </c>
      <c r="P49" s="17" t="s">
        <v>75</v>
      </c>
      <c r="Q49" s="3">
        <f t="shared" si="1"/>
        <v>1</v>
      </c>
      <c r="R49" s="23">
        <f t="shared" si="2"/>
        <v>6.24</v>
      </c>
      <c r="U49" s="27"/>
    </row>
    <row r="50" spans="1:23" x14ac:dyDescent="0.25">
      <c r="A50" s="33">
        <v>48</v>
      </c>
      <c r="B50" s="1" t="s">
        <v>140</v>
      </c>
      <c r="C50" s="1">
        <v>3774885</v>
      </c>
      <c r="D50" s="1" t="s">
        <v>139</v>
      </c>
      <c r="E50" s="38">
        <v>46055</v>
      </c>
      <c r="F50" s="39">
        <v>0.73475694444444439</v>
      </c>
      <c r="G50" s="39">
        <v>0.73737268518518517</v>
      </c>
      <c r="H50" s="1" t="s">
        <v>103</v>
      </c>
      <c r="I50" s="1" t="s">
        <v>104</v>
      </c>
      <c r="J50" s="33">
        <v>8.64</v>
      </c>
      <c r="K50" s="33">
        <v>7.16</v>
      </c>
      <c r="L50" s="33">
        <f t="shared" si="0"/>
        <v>1.4800000000000004</v>
      </c>
      <c r="M50" s="40"/>
      <c r="O50" s="3">
        <v>11</v>
      </c>
      <c r="P50" s="5" t="s">
        <v>76</v>
      </c>
      <c r="Q50" s="3">
        <f t="shared" si="1"/>
        <v>1</v>
      </c>
      <c r="R50" s="23">
        <f t="shared" si="2"/>
        <v>0.82000000000000028</v>
      </c>
    </row>
    <row r="51" spans="1:23" x14ac:dyDescent="0.25">
      <c r="A51" s="33">
        <v>49</v>
      </c>
      <c r="B51" s="33" t="s">
        <v>138</v>
      </c>
      <c r="C51" s="33">
        <v>3774877</v>
      </c>
      <c r="D51" s="1" t="s">
        <v>139</v>
      </c>
      <c r="E51" s="38">
        <v>46055</v>
      </c>
      <c r="F51" s="39">
        <v>0.73549768518518521</v>
      </c>
      <c r="G51" s="39">
        <v>0.73940972222222223</v>
      </c>
      <c r="H51" s="1" t="s">
        <v>103</v>
      </c>
      <c r="I51" s="1" t="s">
        <v>104</v>
      </c>
      <c r="J51" s="33">
        <v>12.12</v>
      </c>
      <c r="K51" s="33">
        <v>8.9600000000000009</v>
      </c>
      <c r="L51" s="33">
        <f t="shared" si="0"/>
        <v>3.1599999999999984</v>
      </c>
      <c r="M51" s="40"/>
      <c r="O51" s="3">
        <v>12</v>
      </c>
      <c r="P51" s="17" t="s">
        <v>81</v>
      </c>
      <c r="Q51" s="3">
        <f t="shared" si="1"/>
        <v>0</v>
      </c>
      <c r="R51" s="23">
        <f t="shared" si="2"/>
        <v>0</v>
      </c>
    </row>
    <row r="52" spans="1:23" x14ac:dyDescent="0.25">
      <c r="A52" s="33">
        <v>50</v>
      </c>
      <c r="B52" s="1" t="s">
        <v>141</v>
      </c>
      <c r="C52" s="33">
        <v>3774883</v>
      </c>
      <c r="D52" s="1" t="s">
        <v>139</v>
      </c>
      <c r="E52" s="38">
        <v>46055</v>
      </c>
      <c r="F52" s="39">
        <v>0.73972222222222217</v>
      </c>
      <c r="G52" s="39">
        <v>0.7424884259259259</v>
      </c>
      <c r="H52" s="1" t="s">
        <v>103</v>
      </c>
      <c r="I52" s="1" t="s">
        <v>104</v>
      </c>
      <c r="J52" s="33">
        <v>9.74</v>
      </c>
      <c r="K52" s="33">
        <v>7.73</v>
      </c>
      <c r="L52" s="33">
        <f t="shared" si="0"/>
        <v>2.0099999999999998</v>
      </c>
      <c r="M52" s="40"/>
      <c r="O52" s="3">
        <v>13</v>
      </c>
      <c r="P52" s="17" t="s">
        <v>83</v>
      </c>
      <c r="Q52" s="3">
        <f t="shared" si="1"/>
        <v>0</v>
      </c>
      <c r="R52" s="23">
        <f t="shared" si="2"/>
        <v>0</v>
      </c>
    </row>
    <row r="53" spans="1:23" x14ac:dyDescent="0.25">
      <c r="A53" s="33">
        <v>51</v>
      </c>
      <c r="B53" s="33" t="s">
        <v>137</v>
      </c>
      <c r="C53" s="33">
        <v>3774873</v>
      </c>
      <c r="D53" s="1" t="s">
        <v>19</v>
      </c>
      <c r="E53" s="38">
        <v>46055</v>
      </c>
      <c r="F53" s="39">
        <v>0.74438657407407405</v>
      </c>
      <c r="G53" s="39">
        <v>0.7479513888888889</v>
      </c>
      <c r="H53" s="1" t="s">
        <v>103</v>
      </c>
      <c r="I53" s="1" t="s">
        <v>104</v>
      </c>
      <c r="J53" s="33">
        <v>14.38</v>
      </c>
      <c r="K53" s="33">
        <v>9.73</v>
      </c>
      <c r="L53" s="33">
        <f t="shared" si="0"/>
        <v>4.6500000000000004</v>
      </c>
      <c r="M53" s="40"/>
      <c r="O53" s="3">
        <v>14</v>
      </c>
      <c r="P53" s="17" t="s">
        <v>89</v>
      </c>
      <c r="Q53" s="3">
        <f t="shared" si="1"/>
        <v>0</v>
      </c>
      <c r="R53" s="23">
        <f t="shared" si="2"/>
        <v>0</v>
      </c>
    </row>
    <row r="54" spans="1:23" x14ac:dyDescent="0.25">
      <c r="A54" s="33">
        <v>52</v>
      </c>
      <c r="B54" s="33" t="s">
        <v>150</v>
      </c>
      <c r="C54" s="33">
        <v>6799918</v>
      </c>
      <c r="D54" s="1" t="s">
        <v>19</v>
      </c>
      <c r="E54" s="38">
        <v>46055</v>
      </c>
      <c r="F54" s="39">
        <v>0.74671296296296297</v>
      </c>
      <c r="G54" s="39">
        <v>0.74967592592592591</v>
      </c>
      <c r="H54" s="1" t="s">
        <v>103</v>
      </c>
      <c r="I54" s="1" t="s">
        <v>104</v>
      </c>
      <c r="J54" s="33">
        <v>14.27</v>
      </c>
      <c r="K54" s="33">
        <v>9.73</v>
      </c>
      <c r="L54" s="33">
        <f t="shared" si="0"/>
        <v>4.5399999999999991</v>
      </c>
      <c r="M54" s="40"/>
      <c r="O54" s="3">
        <v>15</v>
      </c>
      <c r="P54" s="17" t="s">
        <v>96</v>
      </c>
      <c r="Q54" s="3">
        <f t="shared" si="1"/>
        <v>0</v>
      </c>
      <c r="R54" s="23">
        <f t="shared" si="2"/>
        <v>0</v>
      </c>
    </row>
    <row r="55" spans="1:23" x14ac:dyDescent="0.25">
      <c r="A55" s="33">
        <v>53</v>
      </c>
      <c r="B55" s="33" t="s">
        <v>144</v>
      </c>
      <c r="C55" s="33">
        <v>3774870</v>
      </c>
      <c r="D55" s="1" t="s">
        <v>19</v>
      </c>
      <c r="E55" s="38">
        <v>46055</v>
      </c>
      <c r="F55" s="39">
        <v>0.75103009259259257</v>
      </c>
      <c r="G55" s="39">
        <v>0.755462962962963</v>
      </c>
      <c r="H55" s="1" t="s">
        <v>103</v>
      </c>
      <c r="I55" s="1" t="s">
        <v>104</v>
      </c>
      <c r="J55" s="33">
        <v>11.67</v>
      </c>
      <c r="K55" s="33">
        <v>7.32</v>
      </c>
      <c r="L55" s="33">
        <f t="shared" si="0"/>
        <v>4.3499999999999996</v>
      </c>
      <c r="M55" s="40"/>
      <c r="O55" s="3">
        <v>16</v>
      </c>
      <c r="P55" s="17" t="s">
        <v>101</v>
      </c>
      <c r="Q55" s="3">
        <f t="shared" si="1"/>
        <v>0</v>
      </c>
      <c r="R55" s="23">
        <f t="shared" si="2"/>
        <v>0</v>
      </c>
    </row>
    <row r="56" spans="1:23" x14ac:dyDescent="0.25">
      <c r="A56" s="33">
        <v>54</v>
      </c>
      <c r="B56" s="33" t="s">
        <v>142</v>
      </c>
      <c r="C56" s="33">
        <v>3774867</v>
      </c>
      <c r="D56" s="1" t="s">
        <v>19</v>
      </c>
      <c r="E56" s="38">
        <v>46055</v>
      </c>
      <c r="F56" s="39">
        <v>0.75140046296296292</v>
      </c>
      <c r="G56" s="39">
        <v>0.7568287037037037</v>
      </c>
      <c r="H56" s="1" t="s">
        <v>103</v>
      </c>
      <c r="I56" s="1" t="s">
        <v>104</v>
      </c>
      <c r="J56" s="33">
        <v>8.8699999999999992</v>
      </c>
      <c r="K56" s="33">
        <v>6.07</v>
      </c>
      <c r="L56" s="33">
        <f t="shared" si="0"/>
        <v>2.7999999999999989</v>
      </c>
      <c r="M56" s="40"/>
      <c r="O56" s="3">
        <v>17</v>
      </c>
      <c r="P56" s="15" t="s">
        <v>47</v>
      </c>
      <c r="Q56" s="3">
        <f>SUMPRODUCT(($E:$E=$P$2)*($D:$D=$P56)*($I:$I="事廢-廚餘"))</f>
        <v>4</v>
      </c>
      <c r="R56" s="23">
        <f>SUMPRODUCT(($E:$E=$P$2)*($D:$D=$P56)*($I:$I="事廢-廚餘"),$L:$L)</f>
        <v>10.66</v>
      </c>
      <c r="S56" s="21" t="s">
        <v>102</v>
      </c>
    </row>
    <row r="57" spans="1:23" x14ac:dyDescent="0.25">
      <c r="A57" s="33">
        <v>55</v>
      </c>
      <c r="B57" s="1" t="s">
        <v>145</v>
      </c>
      <c r="C57" s="1">
        <v>6402009</v>
      </c>
      <c r="D57" s="1" t="s">
        <v>19</v>
      </c>
      <c r="E57" s="38">
        <v>46055</v>
      </c>
      <c r="F57" s="39">
        <v>0.75466435185185188</v>
      </c>
      <c r="G57" s="39">
        <v>0.75856481481481486</v>
      </c>
      <c r="H57" s="1" t="s">
        <v>103</v>
      </c>
      <c r="I57" s="1" t="s">
        <v>104</v>
      </c>
      <c r="J57" s="33">
        <v>10.210000000000001</v>
      </c>
      <c r="K57" s="33">
        <v>7.44</v>
      </c>
      <c r="L57" s="33">
        <f t="shared" si="0"/>
        <v>2.7700000000000005</v>
      </c>
      <c r="M57" s="40"/>
      <c r="O57" s="3">
        <v>18</v>
      </c>
      <c r="P57" s="17" t="s">
        <v>51</v>
      </c>
      <c r="Q57" s="3">
        <f>SUMPRODUCT(($E:$E=$P$2)*($D:$D=$P57)*($I:$I="事廢-廚餘"))</f>
        <v>1</v>
      </c>
      <c r="R57" s="23">
        <f>SUMPRODUCT(($E:$E=$P$2)*($D:$D=$P57)*($I:$I="事廢-廚餘"),$L:$L)</f>
        <v>4.21</v>
      </c>
      <c r="S57" s="21" t="s">
        <v>102</v>
      </c>
      <c r="T57" s="42"/>
      <c r="U57" s="42"/>
      <c r="V57" s="42"/>
    </row>
    <row r="58" spans="1:23" x14ac:dyDescent="0.25">
      <c r="A58" s="33">
        <v>56</v>
      </c>
      <c r="B58" s="33" t="s">
        <v>143</v>
      </c>
      <c r="C58" s="33">
        <v>3774874</v>
      </c>
      <c r="D58" s="1" t="s">
        <v>19</v>
      </c>
      <c r="E58" s="38">
        <v>46055</v>
      </c>
      <c r="F58" s="39">
        <v>0.75623842592592594</v>
      </c>
      <c r="G58" s="39">
        <v>0.76031249999999995</v>
      </c>
      <c r="H58" s="1" t="s">
        <v>103</v>
      </c>
      <c r="I58" s="1" t="s">
        <v>104</v>
      </c>
      <c r="J58" s="33">
        <v>11.07</v>
      </c>
      <c r="K58" s="33">
        <v>7.4</v>
      </c>
      <c r="L58" s="33">
        <f t="shared" si="0"/>
        <v>3.67</v>
      </c>
      <c r="M58" s="40"/>
      <c r="O58" s="25" t="s">
        <v>45</v>
      </c>
      <c r="P58" s="26"/>
      <c r="Q58" s="8">
        <f>SUM(Q40:Q57)</f>
        <v>13</v>
      </c>
      <c r="R58" s="9">
        <f>SUM(R40:R57)</f>
        <v>41.74</v>
      </c>
      <c r="S58" s="21"/>
      <c r="T58" s="42"/>
      <c r="U58" s="42"/>
      <c r="V58" s="42"/>
    </row>
    <row r="59" spans="1:23" ht="16.5" customHeight="1" x14ac:dyDescent="0.25">
      <c r="A59" s="33">
        <v>57</v>
      </c>
      <c r="B59" s="33" t="s">
        <v>151</v>
      </c>
      <c r="C59" s="33">
        <v>3774865</v>
      </c>
      <c r="D59" s="1" t="s">
        <v>19</v>
      </c>
      <c r="E59" s="38">
        <v>46055</v>
      </c>
      <c r="F59" s="39">
        <v>0.76199074074074069</v>
      </c>
      <c r="G59" s="39">
        <v>0.76459490740740743</v>
      </c>
      <c r="H59" s="1" t="s">
        <v>103</v>
      </c>
      <c r="I59" s="1" t="s">
        <v>104</v>
      </c>
      <c r="J59" s="33">
        <v>14.34</v>
      </c>
      <c r="K59" s="33">
        <v>9.83</v>
      </c>
      <c r="L59" s="33">
        <f t="shared" si="0"/>
        <v>4.51</v>
      </c>
      <c r="M59" s="40"/>
      <c r="O59" s="6"/>
      <c r="P59" s="2"/>
      <c r="Q59" s="2"/>
      <c r="R59" s="2"/>
      <c r="S59" s="24"/>
      <c r="T59" s="42"/>
      <c r="U59" s="42"/>
      <c r="V59" s="42"/>
    </row>
    <row r="60" spans="1:23" x14ac:dyDescent="0.25">
      <c r="A60" s="33">
        <v>58</v>
      </c>
      <c r="B60" s="55" t="s">
        <v>146</v>
      </c>
      <c r="C60" s="55">
        <v>3774881</v>
      </c>
      <c r="D60" s="1" t="s">
        <v>139</v>
      </c>
      <c r="E60" s="38">
        <v>46055</v>
      </c>
      <c r="F60" s="39">
        <v>0.76334490740740746</v>
      </c>
      <c r="G60" s="39">
        <v>0.76659722222222226</v>
      </c>
      <c r="H60" s="1" t="s">
        <v>103</v>
      </c>
      <c r="I60" s="1" t="s">
        <v>104</v>
      </c>
      <c r="J60" s="33">
        <v>11.14</v>
      </c>
      <c r="K60" s="33">
        <v>6.79</v>
      </c>
      <c r="L60" s="33">
        <f t="shared" si="0"/>
        <v>4.3500000000000005</v>
      </c>
      <c r="M60" s="40"/>
      <c r="O60" s="6"/>
      <c r="P60" s="2"/>
      <c r="Q60" s="2"/>
      <c r="R60" s="2"/>
      <c r="S60" s="21"/>
      <c r="T60" s="42"/>
      <c r="U60" s="42"/>
      <c r="V60" s="42"/>
    </row>
    <row r="61" spans="1:23" x14ac:dyDescent="0.25">
      <c r="A61" s="33">
        <v>59</v>
      </c>
      <c r="B61" s="1" t="s">
        <v>147</v>
      </c>
      <c r="C61" s="1">
        <v>6401981</v>
      </c>
      <c r="D61" s="1" t="s">
        <v>139</v>
      </c>
      <c r="E61" s="38">
        <v>46055</v>
      </c>
      <c r="F61" s="39">
        <v>0.76751157407407411</v>
      </c>
      <c r="G61" s="39">
        <v>0.77</v>
      </c>
      <c r="H61" s="1" t="s">
        <v>103</v>
      </c>
      <c r="I61" s="1" t="s">
        <v>104</v>
      </c>
      <c r="J61" s="33">
        <v>9.0299999999999994</v>
      </c>
      <c r="K61" s="33">
        <v>7.13</v>
      </c>
      <c r="L61" s="33">
        <f t="shared" si="0"/>
        <v>1.8999999999999995</v>
      </c>
      <c r="M61" s="40"/>
      <c r="O61" s="3" t="s">
        <v>14</v>
      </c>
      <c r="P61" s="11" t="s">
        <v>53</v>
      </c>
      <c r="Q61" s="11" t="s">
        <v>16</v>
      </c>
      <c r="R61" s="11" t="s">
        <v>17</v>
      </c>
      <c r="T61" s="42"/>
      <c r="U61" s="42"/>
      <c r="V61" s="42"/>
    </row>
    <row r="62" spans="1:23" x14ac:dyDescent="0.25">
      <c r="A62" s="33">
        <v>60</v>
      </c>
      <c r="B62" s="33" t="s">
        <v>148</v>
      </c>
      <c r="C62" s="33">
        <v>3774974</v>
      </c>
      <c r="D62" s="1" t="s">
        <v>19</v>
      </c>
      <c r="E62" s="38">
        <v>46055</v>
      </c>
      <c r="F62" s="39">
        <v>0.7678935185185185</v>
      </c>
      <c r="G62" s="39">
        <v>0.77263888888888888</v>
      </c>
      <c r="H62" s="1" t="s">
        <v>103</v>
      </c>
      <c r="I62" s="1" t="s">
        <v>104</v>
      </c>
      <c r="J62" s="33">
        <v>14.31</v>
      </c>
      <c r="K62" s="33">
        <v>9.6300000000000008</v>
      </c>
      <c r="L62" s="33">
        <f t="shared" si="0"/>
        <v>4.68</v>
      </c>
      <c r="M62" s="40"/>
      <c r="O62" s="3">
        <v>1</v>
      </c>
      <c r="P62" s="13" t="s">
        <v>54</v>
      </c>
      <c r="Q62" s="4">
        <f>SUMPRODUCT(($E:$E=$P$2)*($I:$I="運出底渣"))</f>
        <v>5</v>
      </c>
      <c r="R62" s="14">
        <f>SUMPRODUCT(($E:$E=$P$2)*($I:$I="運出底渣"),$L:$L)</f>
        <v>117.27</v>
      </c>
      <c r="T62" s="42"/>
      <c r="U62" s="42"/>
      <c r="V62" s="42"/>
    </row>
    <row r="63" spans="1:23" x14ac:dyDescent="0.25">
      <c r="A63" s="33">
        <v>61</v>
      </c>
      <c r="B63" s="33" t="s">
        <v>123</v>
      </c>
      <c r="C63" s="33">
        <v>3774899</v>
      </c>
      <c r="D63" s="40" t="s">
        <v>124</v>
      </c>
      <c r="E63" s="38">
        <v>46055</v>
      </c>
      <c r="F63" s="39">
        <v>0.77690972222222221</v>
      </c>
      <c r="G63" s="39">
        <v>0.77949074074074076</v>
      </c>
      <c r="H63" s="1" t="s">
        <v>103</v>
      </c>
      <c r="I63" s="1" t="s">
        <v>104</v>
      </c>
      <c r="J63" s="44">
        <v>8.91</v>
      </c>
      <c r="K63" s="44">
        <v>6.08</v>
      </c>
      <c r="L63" s="33">
        <f t="shared" si="0"/>
        <v>2.83</v>
      </c>
      <c r="M63" s="40"/>
      <c r="O63" s="3">
        <v>2</v>
      </c>
      <c r="P63" s="13" t="s">
        <v>55</v>
      </c>
      <c r="Q63" s="4">
        <f>SUMPRODUCT(($E:$E=$P$2)*($I:$I="運出飛灰固化物"))</f>
        <v>0</v>
      </c>
      <c r="R63" s="14">
        <f>SUMPRODUCT(($E:$E=$P$2)*($I:$I="運出飛灰固化物"),$L:$L)</f>
        <v>0</v>
      </c>
      <c r="S63" s="30"/>
    </row>
    <row r="64" spans="1:23" x14ac:dyDescent="0.25">
      <c r="A64" s="33">
        <v>62</v>
      </c>
      <c r="B64" s="1" t="s">
        <v>127</v>
      </c>
      <c r="C64" s="1">
        <v>6401996</v>
      </c>
      <c r="D64" s="40" t="s">
        <v>124</v>
      </c>
      <c r="E64" s="38">
        <v>46055</v>
      </c>
      <c r="F64" s="39">
        <v>0.77954861111111107</v>
      </c>
      <c r="G64" s="39">
        <v>0.78207175925925931</v>
      </c>
      <c r="H64" s="1" t="s">
        <v>103</v>
      </c>
      <c r="I64" s="1" t="s">
        <v>104</v>
      </c>
      <c r="J64" s="44">
        <v>9.7899999999999991</v>
      </c>
      <c r="K64" s="44">
        <v>7.37</v>
      </c>
      <c r="L64" s="33">
        <f t="shared" si="0"/>
        <v>2.419999999999999</v>
      </c>
      <c r="M64" s="40"/>
      <c r="O64" s="3">
        <v>3</v>
      </c>
      <c r="P64" s="13" t="s">
        <v>56</v>
      </c>
      <c r="Q64" s="4">
        <f>SUMPRODUCT(($E:$E=$P$2)*($I:$I=$P64))</f>
        <v>1</v>
      </c>
      <c r="R64" s="14">
        <f>SUMPRODUCT(($E:$E=$P$2)*($I:$I=$P64),$L:$L)</f>
        <v>2.8199999999999994</v>
      </c>
      <c r="S64" s="30"/>
      <c r="T64" s="30"/>
      <c r="U64" s="30"/>
      <c r="V64" s="32"/>
      <c r="W64" s="32"/>
    </row>
    <row r="65" spans="1:23" x14ac:dyDescent="0.25">
      <c r="A65" s="33">
        <v>63</v>
      </c>
      <c r="B65" s="1" t="s">
        <v>149</v>
      </c>
      <c r="C65" s="1">
        <v>3774869</v>
      </c>
      <c r="D65" s="1" t="s">
        <v>19</v>
      </c>
      <c r="E65" s="38">
        <v>46055</v>
      </c>
      <c r="F65" s="39">
        <v>0.77987268518518515</v>
      </c>
      <c r="G65" s="39">
        <v>0.78333333333333333</v>
      </c>
      <c r="H65" s="1" t="s">
        <v>103</v>
      </c>
      <c r="I65" s="1" t="s">
        <v>104</v>
      </c>
      <c r="J65" s="44">
        <v>11.03</v>
      </c>
      <c r="K65" s="44">
        <v>7.33</v>
      </c>
      <c r="L65" s="33">
        <f t="shared" si="0"/>
        <v>3.6999999999999993</v>
      </c>
      <c r="M65" s="40"/>
      <c r="O65" s="3">
        <v>4</v>
      </c>
      <c r="P65" s="17" t="s">
        <v>71</v>
      </c>
      <c r="Q65" s="4">
        <f>SUMPRODUCT(($E:$E=$P$2)*($I:$I=$P65))</f>
        <v>0</v>
      </c>
      <c r="R65" s="14">
        <f>SUMPRODUCT(($E:$E=$P$2)*($I:$I=$P65),$L:$L)</f>
        <v>0</v>
      </c>
      <c r="U65" s="32"/>
      <c r="V65" s="32"/>
      <c r="W65" s="32"/>
    </row>
    <row r="66" spans="1:23" x14ac:dyDescent="0.25">
      <c r="A66" s="33">
        <v>64</v>
      </c>
      <c r="B66" s="33" t="s">
        <v>152</v>
      </c>
      <c r="C66" s="33">
        <v>6799917</v>
      </c>
      <c r="D66" s="1" t="s">
        <v>19</v>
      </c>
      <c r="E66" s="38">
        <v>46055</v>
      </c>
      <c r="F66" s="39">
        <v>0.78173611111111108</v>
      </c>
      <c r="G66" s="39">
        <v>0.78489583333333335</v>
      </c>
      <c r="H66" s="1" t="s">
        <v>103</v>
      </c>
      <c r="I66" s="1" t="s">
        <v>104</v>
      </c>
      <c r="J66" s="44">
        <v>10.94</v>
      </c>
      <c r="K66" s="44">
        <v>7.41</v>
      </c>
      <c r="L66" s="33">
        <f t="shared" si="0"/>
        <v>3.5299999999999994</v>
      </c>
      <c r="M66" s="40"/>
      <c r="O66" s="3">
        <v>5</v>
      </c>
      <c r="P66" s="17" t="s">
        <v>93</v>
      </c>
      <c r="Q66" s="4">
        <f>SUMPRODUCT(($E:$E=$P$2)*($H:$H=$P66))</f>
        <v>0</v>
      </c>
      <c r="R66" s="23">
        <f>SUMPRODUCT(($E:$E=$P$2)*($H:$H=$P66),$L:$L)</f>
        <v>0</v>
      </c>
      <c r="S66" s="32"/>
      <c r="T66" s="32"/>
    </row>
    <row r="67" spans="1:23" x14ac:dyDescent="0.25">
      <c r="A67" s="33">
        <v>65</v>
      </c>
      <c r="B67" s="1" t="s">
        <v>155</v>
      </c>
      <c r="C67" s="1">
        <v>6799919</v>
      </c>
      <c r="D67" s="1" t="s">
        <v>19</v>
      </c>
      <c r="E67" s="38">
        <v>46055</v>
      </c>
      <c r="F67" s="39">
        <v>0.7970949074074074</v>
      </c>
      <c r="G67" s="39">
        <v>0.80439814814814814</v>
      </c>
      <c r="H67" s="1" t="s">
        <v>103</v>
      </c>
      <c r="I67" s="1" t="s">
        <v>104</v>
      </c>
      <c r="J67" s="44">
        <v>15.63</v>
      </c>
      <c r="K67" s="44">
        <v>9.6199999999999992</v>
      </c>
      <c r="L67" s="33">
        <f t="shared" si="0"/>
        <v>6.0100000000000016</v>
      </c>
      <c r="M67" s="3"/>
      <c r="O67" s="6"/>
      <c r="P67" s="2"/>
      <c r="Q67" s="2"/>
      <c r="R67" s="2"/>
      <c r="S67" s="32"/>
      <c r="T67" s="32"/>
    </row>
    <row r="68" spans="1:23" x14ac:dyDescent="0.25">
      <c r="A68" s="33">
        <v>66</v>
      </c>
      <c r="B68" s="1" t="s">
        <v>125</v>
      </c>
      <c r="C68" s="1">
        <v>3774897</v>
      </c>
      <c r="D68" s="40" t="s">
        <v>124</v>
      </c>
      <c r="E68" s="38">
        <v>46055</v>
      </c>
      <c r="F68" s="39">
        <v>0.79982638888888891</v>
      </c>
      <c r="G68" s="39">
        <v>0.80280092592592589</v>
      </c>
      <c r="H68" s="1" t="s">
        <v>103</v>
      </c>
      <c r="I68" s="1" t="s">
        <v>104</v>
      </c>
      <c r="J68" s="44">
        <v>11.78</v>
      </c>
      <c r="K68" s="44">
        <v>8.08</v>
      </c>
      <c r="L68" s="33">
        <f t="shared" si="0"/>
        <v>3.6999999999999993</v>
      </c>
      <c r="M68" s="3"/>
      <c r="O68" s="3" t="s">
        <v>14</v>
      </c>
      <c r="P68" s="10" t="s">
        <v>57</v>
      </c>
      <c r="Q68" s="11" t="s">
        <v>16</v>
      </c>
      <c r="R68" s="43" t="s">
        <v>17</v>
      </c>
    </row>
    <row r="69" spans="1:23" x14ac:dyDescent="0.25">
      <c r="A69" s="33">
        <v>67</v>
      </c>
      <c r="B69" s="33" t="s">
        <v>156</v>
      </c>
      <c r="C69" s="33">
        <v>3774953</v>
      </c>
      <c r="D69" s="1" t="s">
        <v>19</v>
      </c>
      <c r="E69" s="38">
        <v>46055</v>
      </c>
      <c r="F69" s="39">
        <v>0.80219907407407409</v>
      </c>
      <c r="G69" s="39">
        <v>0.80746527777777777</v>
      </c>
      <c r="H69" s="1" t="s">
        <v>103</v>
      </c>
      <c r="I69" s="1" t="s">
        <v>104</v>
      </c>
      <c r="J69" s="44">
        <v>6.6</v>
      </c>
      <c r="K69" s="44">
        <v>5.7</v>
      </c>
      <c r="L69" s="33">
        <f t="shared" ref="L69:L98" si="3">J69-K69</f>
        <v>0.89999999999999947</v>
      </c>
      <c r="M69" s="3"/>
      <c r="O69" s="3">
        <v>1</v>
      </c>
      <c r="P69" s="17" t="s">
        <v>90</v>
      </c>
      <c r="Q69" s="4">
        <f>SUMPRODUCT(($E:$E=$P$2)*($D:$D=$P69))</f>
        <v>0</v>
      </c>
      <c r="R69" s="14">
        <f>SUMPRODUCT(($E:$E=$P$2)*($D:$D=$P69),$L:$L)</f>
        <v>0</v>
      </c>
    </row>
    <row r="70" spans="1:23" x14ac:dyDescent="0.25">
      <c r="A70" s="33">
        <v>68</v>
      </c>
      <c r="B70" s="1" t="s">
        <v>136</v>
      </c>
      <c r="C70" s="1">
        <v>6799939</v>
      </c>
      <c r="D70" s="1" t="s">
        <v>19</v>
      </c>
      <c r="E70" s="38">
        <v>46055</v>
      </c>
      <c r="F70" s="39">
        <v>0.80532407407407403</v>
      </c>
      <c r="G70" s="39">
        <v>0.81019675925925927</v>
      </c>
      <c r="H70" s="1" t="s">
        <v>103</v>
      </c>
      <c r="I70" s="1" t="s">
        <v>104</v>
      </c>
      <c r="J70" s="44">
        <v>3.04</v>
      </c>
      <c r="K70" s="44">
        <v>1.9</v>
      </c>
      <c r="L70" s="33">
        <f t="shared" si="3"/>
        <v>1.1400000000000001</v>
      </c>
      <c r="M70" s="40"/>
      <c r="O70" s="6"/>
      <c r="P70" s="2"/>
      <c r="Q70" s="2"/>
      <c r="R70" s="2"/>
    </row>
    <row r="71" spans="1:23" x14ac:dyDescent="0.25">
      <c r="A71" s="33">
        <v>69</v>
      </c>
      <c r="B71" s="33" t="s">
        <v>151</v>
      </c>
      <c r="C71" s="33">
        <v>3774865</v>
      </c>
      <c r="D71" s="1" t="s">
        <v>19</v>
      </c>
      <c r="E71" s="38">
        <v>46055</v>
      </c>
      <c r="F71" s="39">
        <v>0.80675925925925929</v>
      </c>
      <c r="G71" s="39">
        <v>0.81068287037037035</v>
      </c>
      <c r="H71" s="1" t="s">
        <v>103</v>
      </c>
      <c r="I71" s="1" t="s">
        <v>104</v>
      </c>
      <c r="J71" s="44">
        <v>11.15</v>
      </c>
      <c r="K71" s="44">
        <v>9.82</v>
      </c>
      <c r="L71" s="33">
        <f t="shared" si="3"/>
        <v>1.33</v>
      </c>
      <c r="M71" s="40"/>
      <c r="O71" s="3" t="s">
        <v>14</v>
      </c>
      <c r="P71" s="11" t="s">
        <v>59</v>
      </c>
      <c r="Q71" s="11"/>
      <c r="R71" s="11"/>
    </row>
    <row r="72" spans="1:23" x14ac:dyDescent="0.25">
      <c r="A72" s="33">
        <v>70</v>
      </c>
      <c r="B72" s="33" t="s">
        <v>150</v>
      </c>
      <c r="C72" s="33">
        <v>6799918</v>
      </c>
      <c r="D72" s="1" t="s">
        <v>19</v>
      </c>
      <c r="E72" s="38">
        <v>46055</v>
      </c>
      <c r="F72" s="39">
        <v>0.80811342592592594</v>
      </c>
      <c r="G72" s="39">
        <v>0.81262731481481476</v>
      </c>
      <c r="H72" s="1" t="s">
        <v>103</v>
      </c>
      <c r="I72" s="1" t="s">
        <v>104</v>
      </c>
      <c r="J72" s="44">
        <v>13.08</v>
      </c>
      <c r="K72" s="44">
        <v>9.6199999999999992</v>
      </c>
      <c r="L72" s="33">
        <f t="shared" si="3"/>
        <v>3.4600000000000009</v>
      </c>
      <c r="M72" s="3"/>
      <c r="O72" s="3">
        <v>1</v>
      </c>
      <c r="P72" s="5" t="s">
        <v>66</v>
      </c>
      <c r="Q72" s="4">
        <f>Q36</f>
        <v>62</v>
      </c>
      <c r="R72" s="14">
        <f>R36-R64</f>
        <v>196.87</v>
      </c>
    </row>
    <row r="73" spans="1:23" x14ac:dyDescent="0.25">
      <c r="A73" s="33">
        <v>71</v>
      </c>
      <c r="B73" s="55" t="s">
        <v>143</v>
      </c>
      <c r="C73" s="55">
        <v>3774874</v>
      </c>
      <c r="D73" s="1" t="s">
        <v>19</v>
      </c>
      <c r="E73" s="38">
        <v>46055</v>
      </c>
      <c r="F73" s="39">
        <v>0.80873842592592593</v>
      </c>
      <c r="G73" s="39">
        <v>0.81381944444444443</v>
      </c>
      <c r="H73" s="1" t="s">
        <v>103</v>
      </c>
      <c r="I73" s="1" t="s">
        <v>104</v>
      </c>
      <c r="J73" s="44">
        <v>9.36</v>
      </c>
      <c r="K73" s="44">
        <v>7.39</v>
      </c>
      <c r="L73" s="33">
        <f t="shared" si="3"/>
        <v>1.9699999999999998</v>
      </c>
      <c r="M73" s="40"/>
      <c r="O73" s="3">
        <v>2</v>
      </c>
      <c r="P73" s="5" t="s">
        <v>68</v>
      </c>
      <c r="Q73" s="4">
        <f>S36</f>
        <v>14</v>
      </c>
      <c r="R73" s="14">
        <f>T36</f>
        <v>244.07999999999998</v>
      </c>
    </row>
    <row r="74" spans="1:23" x14ac:dyDescent="0.25">
      <c r="A74" s="33">
        <v>72</v>
      </c>
      <c r="B74" s="1" t="s">
        <v>135</v>
      </c>
      <c r="C74" s="33">
        <v>6401908</v>
      </c>
      <c r="D74" s="1" t="s">
        <v>129</v>
      </c>
      <c r="E74" s="38">
        <v>46055</v>
      </c>
      <c r="F74" s="39">
        <v>0.81112268518518515</v>
      </c>
      <c r="G74" s="39">
        <v>0.83724537037037039</v>
      </c>
      <c r="H74" s="1" t="s">
        <v>120</v>
      </c>
      <c r="I74" s="1" t="s">
        <v>130</v>
      </c>
      <c r="J74" s="44">
        <v>6.25</v>
      </c>
      <c r="K74" s="44">
        <v>3.39</v>
      </c>
      <c r="L74" s="33">
        <f t="shared" si="3"/>
        <v>2.86</v>
      </c>
      <c r="M74" s="40" t="s">
        <v>56</v>
      </c>
      <c r="O74" s="3">
        <v>3</v>
      </c>
      <c r="P74" s="5" t="s">
        <v>60</v>
      </c>
      <c r="Q74" s="4">
        <f>Q58</f>
        <v>13</v>
      </c>
      <c r="R74" s="14">
        <f>R58</f>
        <v>41.74</v>
      </c>
    </row>
    <row r="75" spans="1:23" x14ac:dyDescent="0.25">
      <c r="A75" s="33">
        <v>73</v>
      </c>
      <c r="B75" s="1" t="s">
        <v>128</v>
      </c>
      <c r="C75" s="1">
        <v>6401904</v>
      </c>
      <c r="D75" s="1" t="s">
        <v>129</v>
      </c>
      <c r="E75" s="38">
        <v>46055</v>
      </c>
      <c r="F75" s="39">
        <v>0.8096875</v>
      </c>
      <c r="G75" s="39">
        <v>0.83681712962962962</v>
      </c>
      <c r="H75" s="1" t="s">
        <v>120</v>
      </c>
      <c r="I75" s="1" t="s">
        <v>130</v>
      </c>
      <c r="J75" s="44">
        <v>6.43</v>
      </c>
      <c r="K75" s="44">
        <v>3.71</v>
      </c>
      <c r="L75" s="33">
        <f t="shared" si="3"/>
        <v>2.7199999999999998</v>
      </c>
      <c r="M75" s="40" t="s">
        <v>56</v>
      </c>
      <c r="O75" s="3">
        <v>4</v>
      </c>
      <c r="P75" s="5" t="s">
        <v>64</v>
      </c>
      <c r="Q75" s="4">
        <f>SUM(Q72:Q74)</f>
        <v>89</v>
      </c>
      <c r="R75" s="14">
        <f>SUM(R72:R74)</f>
        <v>482.69</v>
      </c>
    </row>
    <row r="76" spans="1:23" x14ac:dyDescent="0.25">
      <c r="A76" s="33">
        <v>74</v>
      </c>
      <c r="B76" s="33" t="s">
        <v>153</v>
      </c>
      <c r="C76" s="33">
        <v>3774954</v>
      </c>
      <c r="D76" s="1" t="s">
        <v>19</v>
      </c>
      <c r="E76" s="38">
        <v>46055</v>
      </c>
      <c r="F76" s="39">
        <v>0.81281250000000005</v>
      </c>
      <c r="G76" s="39">
        <v>0.81809027777777776</v>
      </c>
      <c r="H76" s="1" t="s">
        <v>103</v>
      </c>
      <c r="I76" s="1" t="s">
        <v>104</v>
      </c>
      <c r="J76" s="33">
        <v>9.4499999999999993</v>
      </c>
      <c r="K76" s="33">
        <v>5.82</v>
      </c>
      <c r="L76" s="33">
        <f t="shared" si="3"/>
        <v>3.629999999999999</v>
      </c>
      <c r="M76" s="3"/>
      <c r="O76" t="s">
        <v>94</v>
      </c>
    </row>
    <row r="77" spans="1:23" x14ac:dyDescent="0.25">
      <c r="A77" s="33">
        <v>75</v>
      </c>
      <c r="B77" s="1" t="s">
        <v>142</v>
      </c>
      <c r="C77" s="1">
        <v>3774867</v>
      </c>
      <c r="D77" s="1" t="s">
        <v>19</v>
      </c>
      <c r="E77" s="38">
        <v>46055</v>
      </c>
      <c r="F77" s="39">
        <v>0.82263888888888892</v>
      </c>
      <c r="G77" s="39">
        <v>0.82644675925925926</v>
      </c>
      <c r="H77" s="1" t="s">
        <v>103</v>
      </c>
      <c r="I77" s="1" t="s">
        <v>104</v>
      </c>
      <c r="J77" s="33">
        <v>9.17</v>
      </c>
      <c r="K77" s="33">
        <v>6.06</v>
      </c>
      <c r="L77" s="33">
        <f t="shared" si="3"/>
        <v>3.1100000000000003</v>
      </c>
      <c r="M77" s="33"/>
    </row>
    <row r="78" spans="1:23" x14ac:dyDescent="0.25">
      <c r="A78" s="33">
        <v>76</v>
      </c>
      <c r="B78" s="33" t="s">
        <v>132</v>
      </c>
      <c r="C78" s="33">
        <v>3774860</v>
      </c>
      <c r="D78" s="1" t="s">
        <v>19</v>
      </c>
      <c r="E78" s="38">
        <v>46055</v>
      </c>
      <c r="F78" s="39">
        <v>0.82725694444444442</v>
      </c>
      <c r="G78" s="39">
        <v>0.83297453703703705</v>
      </c>
      <c r="H78" s="1" t="s">
        <v>103</v>
      </c>
      <c r="I78" s="1" t="s">
        <v>104</v>
      </c>
      <c r="J78" s="33">
        <v>8.25</v>
      </c>
      <c r="K78" s="33">
        <v>5.23</v>
      </c>
      <c r="L78" s="33">
        <f t="shared" si="3"/>
        <v>3.0199999999999996</v>
      </c>
      <c r="M78" s="33"/>
    </row>
    <row r="79" spans="1:23" x14ac:dyDescent="0.25">
      <c r="A79" s="33">
        <v>77</v>
      </c>
      <c r="B79" s="1" t="s">
        <v>144</v>
      </c>
      <c r="C79" s="1">
        <v>3774870</v>
      </c>
      <c r="D79" s="1" t="s">
        <v>19</v>
      </c>
      <c r="E79" s="38">
        <v>46055</v>
      </c>
      <c r="F79" s="39">
        <v>0.8311574074074074</v>
      </c>
      <c r="G79" s="39">
        <v>0.83480324074074075</v>
      </c>
      <c r="H79" s="1" t="s">
        <v>103</v>
      </c>
      <c r="I79" s="1" t="s">
        <v>104</v>
      </c>
      <c r="J79" s="33">
        <v>9.4700000000000006</v>
      </c>
      <c r="K79" s="33">
        <v>7.3</v>
      </c>
      <c r="L79" s="33">
        <f t="shared" si="3"/>
        <v>2.1700000000000008</v>
      </c>
      <c r="M79" s="33"/>
    </row>
    <row r="80" spans="1:23" x14ac:dyDescent="0.25">
      <c r="A80" s="33">
        <v>78</v>
      </c>
      <c r="B80" s="1" t="s">
        <v>157</v>
      </c>
      <c r="C80" s="1">
        <v>3774866</v>
      </c>
      <c r="D80" s="1" t="s">
        <v>19</v>
      </c>
      <c r="E80" s="38">
        <v>46055</v>
      </c>
      <c r="F80" s="39">
        <v>0.84236111111111112</v>
      </c>
      <c r="G80" s="39">
        <v>0.84664351851851849</v>
      </c>
      <c r="H80" s="1" t="s">
        <v>103</v>
      </c>
      <c r="I80" s="1" t="s">
        <v>104</v>
      </c>
      <c r="J80" s="33">
        <v>15.4</v>
      </c>
      <c r="K80" s="33">
        <v>9.56</v>
      </c>
      <c r="L80" s="33">
        <f t="shared" si="3"/>
        <v>5.84</v>
      </c>
      <c r="M80" s="33"/>
    </row>
    <row r="81" spans="1:13" x14ac:dyDescent="0.25">
      <c r="A81" s="33">
        <v>79</v>
      </c>
      <c r="B81" s="33" t="s">
        <v>181</v>
      </c>
      <c r="C81" s="33">
        <v>37755029</v>
      </c>
      <c r="D81" s="33" t="s">
        <v>182</v>
      </c>
      <c r="E81" s="38">
        <v>46055</v>
      </c>
      <c r="F81" s="39">
        <v>0.84907407407407409</v>
      </c>
      <c r="G81" s="39">
        <v>0.9250694444444445</v>
      </c>
      <c r="H81" s="1" t="s">
        <v>183</v>
      </c>
      <c r="I81" s="1" t="s">
        <v>184</v>
      </c>
      <c r="J81" s="33">
        <v>7.22</v>
      </c>
      <c r="K81" s="33">
        <v>4.4000000000000004</v>
      </c>
      <c r="L81" s="33">
        <f t="shared" si="3"/>
        <v>2.8199999999999994</v>
      </c>
      <c r="M81" s="33"/>
    </row>
    <row r="82" spans="1:13" x14ac:dyDescent="0.25">
      <c r="A82" s="33">
        <v>80</v>
      </c>
      <c r="B82" s="55" t="s">
        <v>185</v>
      </c>
      <c r="C82" s="55">
        <v>3774873</v>
      </c>
      <c r="D82" s="1" t="s">
        <v>19</v>
      </c>
      <c r="E82" s="38">
        <v>46055</v>
      </c>
      <c r="F82" s="39">
        <v>0.86960648148148145</v>
      </c>
      <c r="G82" s="39">
        <v>0.87246527777777783</v>
      </c>
      <c r="H82" s="1" t="s">
        <v>103</v>
      </c>
      <c r="I82" s="1" t="s">
        <v>104</v>
      </c>
      <c r="J82" s="33">
        <v>14.9</v>
      </c>
      <c r="K82" s="33">
        <v>9.7200000000000006</v>
      </c>
      <c r="L82" s="33">
        <f t="shared" si="3"/>
        <v>5.18</v>
      </c>
      <c r="M82" s="33"/>
    </row>
    <row r="83" spans="1:13" x14ac:dyDescent="0.25">
      <c r="A83" s="33">
        <v>81</v>
      </c>
      <c r="B83" s="33" t="s">
        <v>186</v>
      </c>
      <c r="C83" s="33">
        <v>6799917</v>
      </c>
      <c r="D83" s="1" t="s">
        <v>19</v>
      </c>
      <c r="E83" s="38">
        <v>46055</v>
      </c>
      <c r="F83" s="39">
        <v>0.87135416666666665</v>
      </c>
      <c r="G83" s="39">
        <v>0.87452546296296296</v>
      </c>
      <c r="H83" s="1" t="s">
        <v>103</v>
      </c>
      <c r="I83" s="1" t="s">
        <v>104</v>
      </c>
      <c r="J83" s="33">
        <v>8.9</v>
      </c>
      <c r="K83" s="33">
        <v>7.45</v>
      </c>
      <c r="L83" s="33">
        <f t="shared" si="3"/>
        <v>1.4500000000000002</v>
      </c>
      <c r="M83" s="33"/>
    </row>
    <row r="84" spans="1:13" x14ac:dyDescent="0.25">
      <c r="A84" s="33">
        <v>82</v>
      </c>
      <c r="B84" s="1" t="s">
        <v>143</v>
      </c>
      <c r="C84" s="1">
        <v>3774874</v>
      </c>
      <c r="D84" s="1" t="s">
        <v>19</v>
      </c>
      <c r="E84" s="38">
        <v>46055</v>
      </c>
      <c r="F84" s="39">
        <v>0.8744791666666667</v>
      </c>
      <c r="G84" s="39">
        <v>0.87747685185185187</v>
      </c>
      <c r="H84" s="1" t="s">
        <v>103</v>
      </c>
      <c r="I84" s="1" t="s">
        <v>104</v>
      </c>
      <c r="J84" s="33">
        <v>10.19</v>
      </c>
      <c r="K84" s="33">
        <v>7.37</v>
      </c>
      <c r="L84" s="33">
        <f t="shared" si="3"/>
        <v>2.8199999999999994</v>
      </c>
      <c r="M84" s="33"/>
    </row>
    <row r="85" spans="1:13" x14ac:dyDescent="0.25">
      <c r="A85" s="33">
        <v>83</v>
      </c>
      <c r="B85" s="33" t="s">
        <v>145</v>
      </c>
      <c r="C85" s="33">
        <v>6402009</v>
      </c>
      <c r="D85" s="1" t="s">
        <v>19</v>
      </c>
      <c r="E85" s="38">
        <v>46055</v>
      </c>
      <c r="F85" s="39">
        <v>0.87542824074074077</v>
      </c>
      <c r="G85" s="39">
        <v>0.87883101851851853</v>
      </c>
      <c r="H85" s="1" t="s">
        <v>103</v>
      </c>
      <c r="I85" s="1" t="s">
        <v>104</v>
      </c>
      <c r="J85" s="33">
        <v>11.35</v>
      </c>
      <c r="K85" s="33">
        <v>7.44</v>
      </c>
      <c r="L85" s="33">
        <f t="shared" si="3"/>
        <v>3.9099999999999993</v>
      </c>
      <c r="M85" s="33"/>
    </row>
    <row r="86" spans="1:13" x14ac:dyDescent="0.25">
      <c r="A86" s="33">
        <v>84</v>
      </c>
      <c r="B86" s="33" t="s">
        <v>187</v>
      </c>
      <c r="C86" s="33">
        <v>3774867</v>
      </c>
      <c r="D86" s="1" t="s">
        <v>19</v>
      </c>
      <c r="E86" s="38">
        <v>46055</v>
      </c>
      <c r="F86" s="39">
        <v>0.87881944444444449</v>
      </c>
      <c r="G86" s="39">
        <v>0.88178240740740743</v>
      </c>
      <c r="H86" s="1" t="s">
        <v>103</v>
      </c>
      <c r="I86" s="1" t="s">
        <v>104</v>
      </c>
      <c r="J86" s="33">
        <v>8.57</v>
      </c>
      <c r="K86" s="33">
        <v>6.05</v>
      </c>
      <c r="L86" s="33">
        <f t="shared" si="3"/>
        <v>2.5200000000000005</v>
      </c>
      <c r="M86" s="33"/>
    </row>
    <row r="87" spans="1:13" x14ac:dyDescent="0.25">
      <c r="A87" s="33">
        <v>85</v>
      </c>
      <c r="B87" s="33" t="s">
        <v>188</v>
      </c>
      <c r="C87" s="33">
        <v>3774866</v>
      </c>
      <c r="D87" s="1" t="s">
        <v>19</v>
      </c>
      <c r="E87" s="38">
        <v>46055</v>
      </c>
      <c r="F87" s="39">
        <v>0.87975694444444441</v>
      </c>
      <c r="G87" s="39">
        <v>0.88297453703703699</v>
      </c>
      <c r="H87" s="1" t="s">
        <v>103</v>
      </c>
      <c r="I87" s="1" t="s">
        <v>104</v>
      </c>
      <c r="J87" s="33">
        <v>11.58</v>
      </c>
      <c r="K87" s="33">
        <v>9.5500000000000007</v>
      </c>
      <c r="L87" s="33">
        <f t="shared" si="3"/>
        <v>2.0299999999999994</v>
      </c>
      <c r="M87" s="33"/>
    </row>
    <row r="88" spans="1:13" x14ac:dyDescent="0.25">
      <c r="A88" s="33">
        <v>86</v>
      </c>
      <c r="B88" s="1" t="s">
        <v>136</v>
      </c>
      <c r="C88" s="1">
        <v>6799939</v>
      </c>
      <c r="D88" s="1" t="s">
        <v>19</v>
      </c>
      <c r="E88" s="38">
        <v>46055</v>
      </c>
      <c r="F88" s="39">
        <v>0.88035879629629632</v>
      </c>
      <c r="G88" s="39">
        <v>0.88518518518518519</v>
      </c>
      <c r="H88" s="1" t="s">
        <v>103</v>
      </c>
      <c r="I88" s="1" t="s">
        <v>104</v>
      </c>
      <c r="J88" s="33">
        <v>3.03</v>
      </c>
      <c r="K88" s="33">
        <v>1.89</v>
      </c>
      <c r="L88" s="33">
        <f t="shared" si="3"/>
        <v>1.1399999999999999</v>
      </c>
      <c r="M88" s="33"/>
    </row>
    <row r="89" spans="1:13" x14ac:dyDescent="0.25">
      <c r="A89" s="33">
        <v>87</v>
      </c>
      <c r="B89" s="1" t="s">
        <v>189</v>
      </c>
      <c r="C89" s="1">
        <v>3774870</v>
      </c>
      <c r="D89" s="1" t="s">
        <v>19</v>
      </c>
      <c r="E89" s="38">
        <v>46055</v>
      </c>
      <c r="F89" s="39">
        <v>0.88116898148148148</v>
      </c>
      <c r="G89" s="39">
        <v>0.88572916666666668</v>
      </c>
      <c r="H89" s="1" t="s">
        <v>103</v>
      </c>
      <c r="I89" s="1" t="s">
        <v>104</v>
      </c>
      <c r="J89" s="33">
        <v>10.25</v>
      </c>
      <c r="K89" s="33">
        <v>7.29</v>
      </c>
      <c r="L89" s="33">
        <f t="shared" si="3"/>
        <v>2.96</v>
      </c>
      <c r="M89" s="33"/>
    </row>
    <row r="90" spans="1:13" x14ac:dyDescent="0.25">
      <c r="A90" s="33">
        <v>88</v>
      </c>
      <c r="B90" s="33" t="s">
        <v>190</v>
      </c>
      <c r="C90" s="33">
        <v>3774954</v>
      </c>
      <c r="D90" s="1" t="s">
        <v>19</v>
      </c>
      <c r="E90" s="38">
        <v>46055</v>
      </c>
      <c r="F90" s="39">
        <v>0.88651620370370365</v>
      </c>
      <c r="G90" s="39">
        <v>0.88989583333333333</v>
      </c>
      <c r="H90" s="1" t="s">
        <v>103</v>
      </c>
      <c r="I90" s="1" t="s">
        <v>104</v>
      </c>
      <c r="J90" s="33">
        <v>7.87</v>
      </c>
      <c r="K90" s="33">
        <v>5.81</v>
      </c>
      <c r="L90" s="33">
        <f t="shared" si="3"/>
        <v>2.0600000000000005</v>
      </c>
      <c r="M90" s="33"/>
    </row>
    <row r="91" spans="1:13" x14ac:dyDescent="0.25">
      <c r="A91" s="33">
        <v>89</v>
      </c>
      <c r="B91" s="33" t="s">
        <v>191</v>
      </c>
      <c r="C91" s="33">
        <v>3774869</v>
      </c>
      <c r="D91" s="1" t="s">
        <v>19</v>
      </c>
      <c r="E91" s="38">
        <v>46055</v>
      </c>
      <c r="F91" s="39">
        <v>0.88935185185185184</v>
      </c>
      <c r="G91" s="39">
        <v>0.89222222222222225</v>
      </c>
      <c r="H91" s="1" t="s">
        <v>103</v>
      </c>
      <c r="I91" s="1" t="s">
        <v>104</v>
      </c>
      <c r="J91" s="33">
        <v>10.68</v>
      </c>
      <c r="K91" s="33">
        <v>7.31</v>
      </c>
      <c r="L91" s="33">
        <f t="shared" si="3"/>
        <v>3.37</v>
      </c>
      <c r="M91" s="33"/>
    </row>
    <row r="92" spans="1:13" x14ac:dyDescent="0.25">
      <c r="A92" s="33">
        <v>90</v>
      </c>
      <c r="B92" s="33" t="s">
        <v>192</v>
      </c>
      <c r="C92" s="33">
        <v>3774974</v>
      </c>
      <c r="D92" s="1" t="s">
        <v>19</v>
      </c>
      <c r="E92" s="38">
        <v>46055</v>
      </c>
      <c r="F92" s="39">
        <v>0.89067129629629627</v>
      </c>
      <c r="G92" s="39">
        <v>0.89459490740740744</v>
      </c>
      <c r="H92" s="1" t="s">
        <v>103</v>
      </c>
      <c r="I92" s="1" t="s">
        <v>104</v>
      </c>
      <c r="J92" s="33">
        <v>15.05</v>
      </c>
      <c r="K92" s="33">
        <v>9.6</v>
      </c>
      <c r="L92" s="33">
        <f t="shared" si="3"/>
        <v>5.4500000000000011</v>
      </c>
      <c r="M92" s="33"/>
    </row>
    <row r="93" spans="1:13" x14ac:dyDescent="0.25">
      <c r="A93" s="33">
        <v>91</v>
      </c>
      <c r="B93" s="33" t="s">
        <v>193</v>
      </c>
      <c r="C93" s="33">
        <v>3774865</v>
      </c>
      <c r="D93" s="1" t="s">
        <v>19</v>
      </c>
      <c r="E93" s="38">
        <v>46055</v>
      </c>
      <c r="F93" s="39">
        <v>0.89288194444444446</v>
      </c>
      <c r="G93" s="39">
        <v>0.89659722222222227</v>
      </c>
      <c r="H93" s="1" t="s">
        <v>103</v>
      </c>
      <c r="I93" s="1" t="s">
        <v>104</v>
      </c>
      <c r="J93" s="33">
        <v>14.05</v>
      </c>
      <c r="K93" s="33">
        <v>9.7799999999999994</v>
      </c>
      <c r="L93" s="33">
        <f t="shared" si="3"/>
        <v>4.2700000000000014</v>
      </c>
      <c r="M93" s="33"/>
    </row>
    <row r="94" spans="1:13" x14ac:dyDescent="0.25">
      <c r="A94" s="33">
        <v>92</v>
      </c>
      <c r="B94" s="33" t="s">
        <v>194</v>
      </c>
      <c r="C94" s="33">
        <v>6799918</v>
      </c>
      <c r="D94" s="1" t="s">
        <v>19</v>
      </c>
      <c r="E94" s="38">
        <v>46055</v>
      </c>
      <c r="F94" s="39">
        <v>0.89649305555555558</v>
      </c>
      <c r="G94" s="39">
        <v>0.90034722222222219</v>
      </c>
      <c r="H94" s="1" t="s">
        <v>103</v>
      </c>
      <c r="I94" s="1" t="s">
        <v>104</v>
      </c>
      <c r="J94" s="33">
        <v>14.49</v>
      </c>
      <c r="K94" s="33">
        <v>9.6199999999999992</v>
      </c>
      <c r="L94" s="33">
        <f t="shared" si="3"/>
        <v>4.870000000000001</v>
      </c>
      <c r="M94" s="33"/>
    </row>
    <row r="95" spans="1:13" x14ac:dyDescent="0.25">
      <c r="A95" s="33">
        <v>93</v>
      </c>
      <c r="B95" s="33" t="s">
        <v>195</v>
      </c>
      <c r="C95" s="33">
        <v>6799919</v>
      </c>
      <c r="D95" s="1" t="s">
        <v>19</v>
      </c>
      <c r="E95" s="38">
        <v>46055</v>
      </c>
      <c r="F95" s="39">
        <v>0.90552083333333333</v>
      </c>
      <c r="G95" s="39">
        <v>0.90918981481481487</v>
      </c>
      <c r="H95" s="1" t="s">
        <v>103</v>
      </c>
      <c r="I95" s="1" t="s">
        <v>104</v>
      </c>
      <c r="J95" s="33">
        <v>13.63</v>
      </c>
      <c r="K95" s="33">
        <v>9.61</v>
      </c>
      <c r="L95" s="33">
        <f t="shared" si="3"/>
        <v>4.0200000000000014</v>
      </c>
      <c r="M95" s="33"/>
    </row>
    <row r="96" spans="1:13" x14ac:dyDescent="0.25">
      <c r="A96" s="33">
        <v>94</v>
      </c>
      <c r="B96" s="33" t="s">
        <v>196</v>
      </c>
      <c r="C96" s="33">
        <v>3774953</v>
      </c>
      <c r="D96" s="1" t="s">
        <v>19</v>
      </c>
      <c r="E96" s="38">
        <v>46055</v>
      </c>
      <c r="F96" s="39">
        <v>0.91165509259259259</v>
      </c>
      <c r="G96" s="39">
        <v>0.9150462962962963</v>
      </c>
      <c r="H96" s="1" t="s">
        <v>103</v>
      </c>
      <c r="I96" s="1" t="s">
        <v>104</v>
      </c>
      <c r="J96" s="33">
        <v>8.69</v>
      </c>
      <c r="K96" s="33">
        <v>5.73</v>
      </c>
      <c r="L96" s="33">
        <f t="shared" si="3"/>
        <v>2.9599999999999991</v>
      </c>
      <c r="M96" s="33"/>
    </row>
    <row r="97" spans="1:13" x14ac:dyDescent="0.25">
      <c r="A97" s="33">
        <v>95</v>
      </c>
      <c r="B97" s="33" t="s">
        <v>192</v>
      </c>
      <c r="C97" s="33">
        <v>3774974</v>
      </c>
      <c r="D97" s="1" t="s">
        <v>19</v>
      </c>
      <c r="E97" s="38">
        <v>46055</v>
      </c>
      <c r="F97" s="39">
        <v>0.92326388888888888</v>
      </c>
      <c r="G97" s="39">
        <v>0.92634259259259255</v>
      </c>
      <c r="H97" s="1" t="s">
        <v>103</v>
      </c>
      <c r="I97" s="1" t="s">
        <v>104</v>
      </c>
      <c r="J97" s="33">
        <v>10.51</v>
      </c>
      <c r="K97" s="33">
        <v>9.59</v>
      </c>
      <c r="L97" s="33">
        <f t="shared" si="3"/>
        <v>0.91999999999999993</v>
      </c>
      <c r="M97" s="33"/>
    </row>
    <row r="98" spans="1:13" x14ac:dyDescent="0.25">
      <c r="A98" s="33"/>
      <c r="B98" s="33"/>
      <c r="C98" s="33"/>
      <c r="D98" s="1"/>
      <c r="E98" s="38"/>
      <c r="F98" s="39"/>
      <c r="G98" s="39"/>
      <c r="H98" s="1"/>
      <c r="I98" s="1"/>
      <c r="J98" s="33"/>
      <c r="K98" s="33"/>
      <c r="L98" s="33"/>
      <c r="M98" s="33"/>
    </row>
  </sheetData>
  <phoneticPr fontId="1" type="noConversion"/>
  <conditionalFormatting sqref="Q4:R23 S23:T23">
    <cfRule type="expression" priority="3">
      <formula>"&gt;0"</formula>
    </cfRule>
  </conditionalFormatting>
  <conditionalFormatting sqref="Q24:T35">
    <cfRule type="expression" priority="1">
      <formula>"&gt;0"</formula>
    </cfRule>
  </conditionalFormatting>
  <conditionalFormatting sqref="S4:T20">
    <cfRule type="expression" priority="2">
      <formula>"&gt;0"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修正版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operator</cp:lastModifiedBy>
  <dcterms:created xsi:type="dcterms:W3CDTF">2023-06-26T01:31:39Z</dcterms:created>
  <dcterms:modified xsi:type="dcterms:W3CDTF">2026-02-02T15:05:04Z</dcterms:modified>
</cp:coreProperties>
</file>